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dirshad/Desktop/"/>
    </mc:Choice>
  </mc:AlternateContent>
  <xr:revisionPtr revIDLastSave="0" documentId="13_ncr:9_{1D6D6F49-5A69-4241-8297-C67EDB392988}" xr6:coauthVersionLast="47" xr6:coauthVersionMax="47" xr10:uidLastSave="{00000000-0000-0000-0000-000000000000}"/>
  <bookViews>
    <workbookView xWindow="13980" yWindow="660" windowWidth="15420" windowHeight="18460" activeTab="1" xr2:uid="{DAAE66C5-09B3-654A-A074-1DF373BD48D5}"/>
  </bookViews>
  <sheets>
    <sheet name="Raw Data" sheetId="1" r:id="rId1"/>
    <sheet name="Sheet3" sheetId="4" r:id="rId2"/>
    <sheet name="Sheet2" sheetId="3" r:id="rId3"/>
  </sheets>
  <definedNames>
    <definedName name="_xlchart.v2.0" hidden="1">Sheet3!$A$2:$A$6</definedName>
    <definedName name="_xlchart.v2.1" hidden="1">Sheet3!$B$1</definedName>
    <definedName name="_xlchart.v2.2" hidden="1">Sheet3!$B$2:$B$6</definedName>
    <definedName name="_xlchart.v2.3" hidden="1">Sheet3!$A$2:$A$6</definedName>
    <definedName name="_xlchart.v2.4" hidden="1">Sheet3!$B$1</definedName>
    <definedName name="_xlchart.v2.5" hidden="1">Sheet3!$B$2:$B$6</definedName>
  </definedNames>
  <calcPr calcId="191029"/>
  <pivotCaches>
    <pivotCache cacheId="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4" i="4"/>
  <c r="E6" i="4" s="1"/>
  <c r="D6" i="4"/>
  <c r="C3" i="4"/>
  <c r="D3" i="4" s="1"/>
  <c r="E3" i="4" s="1"/>
  <c r="C4" i="4"/>
  <c r="C5" i="4"/>
  <c r="D5" i="4" s="1"/>
  <c r="C6" i="4"/>
  <c r="E2" i="4" l="1"/>
  <c r="E5" i="4"/>
  <c r="E4" i="4"/>
</calcChain>
</file>

<file path=xl/sharedStrings.xml><?xml version="1.0" encoding="utf-8"?>
<sst xmlns="http://schemas.openxmlformats.org/spreadsheetml/2006/main" count="1106" uniqueCount="215">
  <si>
    <t>U103</t>
  </si>
  <si>
    <t>signup_started</t>
  </si>
  <si>
    <t>U178</t>
  </si>
  <si>
    <t>details_filled</t>
  </si>
  <si>
    <t>U074</t>
  </si>
  <si>
    <t>visited_site</t>
  </si>
  <si>
    <t>U085</t>
  </si>
  <si>
    <t>U182</t>
  </si>
  <si>
    <t>U079</t>
  </si>
  <si>
    <t>U143</t>
  </si>
  <si>
    <t>U087</t>
  </si>
  <si>
    <t>U068</t>
  </si>
  <si>
    <t>email_verified</t>
  </si>
  <si>
    <t>U066</t>
  </si>
  <si>
    <t>U128</t>
  </si>
  <si>
    <t>purchase_completed</t>
  </si>
  <si>
    <t>U028</t>
  </si>
  <si>
    <t>U012</t>
  </si>
  <si>
    <t>U149</t>
  </si>
  <si>
    <t>U130</t>
  </si>
  <si>
    <t>U184</t>
  </si>
  <si>
    <t>U042</t>
  </si>
  <si>
    <t>U059</t>
  </si>
  <si>
    <t>U121</t>
  </si>
  <si>
    <t>U089</t>
  </si>
  <si>
    <t>U125</t>
  </si>
  <si>
    <t>U005</t>
  </si>
  <si>
    <t>U031</t>
  </si>
  <si>
    <t>U167</t>
  </si>
  <si>
    <t>U082</t>
  </si>
  <si>
    <t>U030</t>
  </si>
  <si>
    <t>U025</t>
  </si>
  <si>
    <t>U096</t>
  </si>
  <si>
    <t>U200</t>
  </si>
  <si>
    <t>U131</t>
  </si>
  <si>
    <t>U064</t>
  </si>
  <si>
    <t>U171</t>
  </si>
  <si>
    <t>U027</t>
  </si>
  <si>
    <t>U159</t>
  </si>
  <si>
    <t>U067</t>
  </si>
  <si>
    <t>U119</t>
  </si>
  <si>
    <t>U076</t>
  </si>
  <si>
    <t>U072</t>
  </si>
  <si>
    <t>U013</t>
  </si>
  <si>
    <t>U095</t>
  </si>
  <si>
    <t>U039</t>
  </si>
  <si>
    <t>U009</t>
  </si>
  <si>
    <t>U116</t>
  </si>
  <si>
    <t>U014</t>
  </si>
  <si>
    <t>U172</t>
  </si>
  <si>
    <t>U083</t>
  </si>
  <si>
    <t>U158</t>
  </si>
  <si>
    <t>U113</t>
  </si>
  <si>
    <t>U141</t>
  </si>
  <si>
    <t>U054</t>
  </si>
  <si>
    <t>U133</t>
  </si>
  <si>
    <t>U045</t>
  </si>
  <si>
    <t>U036</t>
  </si>
  <si>
    <t>U093</t>
  </si>
  <si>
    <t>U124</t>
  </si>
  <si>
    <t>U029</t>
  </si>
  <si>
    <t>U097</t>
  </si>
  <si>
    <t>U023</t>
  </si>
  <si>
    <t>U075</t>
  </si>
  <si>
    <t>U132</t>
  </si>
  <si>
    <t>U161</t>
  </si>
  <si>
    <t>U163</t>
  </si>
  <si>
    <t>U196</t>
  </si>
  <si>
    <t>U047</t>
  </si>
  <si>
    <t>U142</t>
  </si>
  <si>
    <t>U016</t>
  </si>
  <si>
    <t>U199</t>
  </si>
  <si>
    <t>U164</t>
  </si>
  <si>
    <t>U109</t>
  </si>
  <si>
    <t>U004</t>
  </si>
  <si>
    <t>U018</t>
  </si>
  <si>
    <t>U073</t>
  </si>
  <si>
    <t>U179</t>
  </si>
  <si>
    <t>U006</t>
  </si>
  <si>
    <t>U044</t>
  </si>
  <si>
    <t>U126</t>
  </si>
  <si>
    <t>U114</t>
  </si>
  <si>
    <t>U062</t>
  </si>
  <si>
    <t>U070</t>
  </si>
  <si>
    <t>U134</t>
  </si>
  <si>
    <t>U019</t>
  </si>
  <si>
    <t>U135</t>
  </si>
  <si>
    <t>U094</t>
  </si>
  <si>
    <t>U040</t>
  </si>
  <si>
    <t>U049</t>
  </si>
  <si>
    <t>U091</t>
  </si>
  <si>
    <t>U112</t>
  </si>
  <si>
    <t>U185</t>
  </si>
  <si>
    <t>U060</t>
  </si>
  <si>
    <t>U098</t>
  </si>
  <si>
    <t>U071</t>
  </si>
  <si>
    <t>U001</t>
  </si>
  <si>
    <t>U032</t>
  </si>
  <si>
    <t>U026</t>
  </si>
  <si>
    <t>U102</t>
  </si>
  <si>
    <t>U061</t>
  </si>
  <si>
    <t>U111</t>
  </si>
  <si>
    <t>U108</t>
  </si>
  <si>
    <t>U020</t>
  </si>
  <si>
    <t>U058</t>
  </si>
  <si>
    <t>U053</t>
  </si>
  <si>
    <t>U152</t>
  </si>
  <si>
    <t>U155</t>
  </si>
  <si>
    <t>U078</t>
  </si>
  <si>
    <t>U165</t>
  </si>
  <si>
    <t>U090</t>
  </si>
  <si>
    <t>U118</t>
  </si>
  <si>
    <t>U157</t>
  </si>
  <si>
    <t>U057</t>
  </si>
  <si>
    <t>U017</t>
  </si>
  <si>
    <t>U197</t>
  </si>
  <si>
    <t>U021</t>
  </si>
  <si>
    <t>U123</t>
  </si>
  <si>
    <t>U080</t>
  </si>
  <si>
    <t>U137</t>
  </si>
  <si>
    <t>U084</t>
  </si>
  <si>
    <t>U086</t>
  </si>
  <si>
    <t>U015</t>
  </si>
  <si>
    <t>U100</t>
  </si>
  <si>
    <t>U138</t>
  </si>
  <si>
    <t>U168</t>
  </si>
  <si>
    <t>U092</t>
  </si>
  <si>
    <t>U051</t>
  </si>
  <si>
    <t>U110</t>
  </si>
  <si>
    <t>U145</t>
  </si>
  <si>
    <t>U140</t>
  </si>
  <si>
    <t>U052</t>
  </si>
  <si>
    <t>U150</t>
  </si>
  <si>
    <t>U024</t>
  </si>
  <si>
    <t>U088</t>
  </si>
  <si>
    <t>U069</t>
  </si>
  <si>
    <t>U153</t>
  </si>
  <si>
    <t>U034</t>
  </si>
  <si>
    <t>U174</t>
  </si>
  <si>
    <t>U010</t>
  </si>
  <si>
    <t>U115</t>
  </si>
  <si>
    <t>U175</t>
  </si>
  <si>
    <t>U035</t>
  </si>
  <si>
    <t>U170</t>
  </si>
  <si>
    <t>U002</t>
  </si>
  <si>
    <t>U104</t>
  </si>
  <si>
    <t>U139</t>
  </si>
  <si>
    <t>U192</t>
  </si>
  <si>
    <t>U046</t>
  </si>
  <si>
    <t>U048</t>
  </si>
  <si>
    <t>U190</t>
  </si>
  <si>
    <t>U043</t>
  </si>
  <si>
    <t>U007</t>
  </si>
  <si>
    <t>U160</t>
  </si>
  <si>
    <t>U101</t>
  </si>
  <si>
    <t>U056</t>
  </si>
  <si>
    <t>U146</t>
  </si>
  <si>
    <t>U033</t>
  </si>
  <si>
    <t>U181</t>
  </si>
  <si>
    <t>U008</t>
  </si>
  <si>
    <t>U055</t>
  </si>
  <si>
    <t>U180</t>
  </si>
  <si>
    <t>U151</t>
  </si>
  <si>
    <t>U189</t>
  </si>
  <si>
    <t>U147</t>
  </si>
  <si>
    <t>U127</t>
  </si>
  <si>
    <t>U081</t>
  </si>
  <si>
    <t>U195</t>
  </si>
  <si>
    <t>U117</t>
  </si>
  <si>
    <t>U162</t>
  </si>
  <si>
    <t>U148</t>
  </si>
  <si>
    <t>U176</t>
  </si>
  <si>
    <t>U041</t>
  </si>
  <si>
    <t>U129</t>
  </si>
  <si>
    <t>U136</t>
  </si>
  <si>
    <t>U193</t>
  </si>
  <si>
    <t>U011</t>
  </si>
  <si>
    <t>U198</t>
  </si>
  <si>
    <t>U166</t>
  </si>
  <si>
    <t>U099</t>
  </si>
  <si>
    <t>U122</t>
  </si>
  <si>
    <t>U183</t>
  </si>
  <si>
    <t>U173</t>
  </si>
  <si>
    <t>U177</t>
  </si>
  <si>
    <t>U022</t>
  </si>
  <si>
    <t>U107</t>
  </si>
  <si>
    <t>U120</t>
  </si>
  <si>
    <t>U191</t>
  </si>
  <si>
    <t>U187</t>
  </si>
  <si>
    <t>U188</t>
  </si>
  <si>
    <t>U063</t>
  </si>
  <si>
    <t>U186</t>
  </si>
  <si>
    <t>U037</t>
  </si>
  <si>
    <t>U003</t>
  </si>
  <si>
    <t>U106</t>
  </si>
  <si>
    <t>U065</t>
  </si>
  <si>
    <t>U169</t>
  </si>
  <si>
    <t>U105</t>
  </si>
  <si>
    <t>U077</t>
  </si>
  <si>
    <t>U144</t>
  </si>
  <si>
    <t>U050</t>
  </si>
  <si>
    <t>U156</t>
  </si>
  <si>
    <t>U154</t>
  </si>
  <si>
    <t>U038</t>
  </si>
  <si>
    <t>U194</t>
  </si>
  <si>
    <t>User_ID</t>
  </si>
  <si>
    <t>Step</t>
  </si>
  <si>
    <t>TimeStamp</t>
  </si>
  <si>
    <t>Row Labels</t>
  </si>
  <si>
    <t>Grand Total</t>
  </si>
  <si>
    <t>Count of User_ID</t>
  </si>
  <si>
    <t>Conversion Rate (%)</t>
  </si>
  <si>
    <t>Drop-off</t>
  </si>
  <si>
    <t>Flag</t>
  </si>
  <si>
    <t>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</si>
</sst>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rgb="FF9C5700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8" fillId="0" borderId="0" xfId="0" applyFont="1"/>
    <xf numFmtId="0" fontId="19" fillId="4" borderId="10" xfId="9" applyFont="1" applyBorder="1"/>
    <xf numFmtId="0" fontId="20" fillId="0" borderId="0" xfId="0" applyFont="1"/>
    <xf numFmtId="22" fontId="20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9" fontId="18" fillId="0" borderId="0" xfId="1" applyFont="1"/>
    <xf numFmtId="9" fontId="18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 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15">
    <dxf>
      <font>
        <strike val="0"/>
        <outline val="0"/>
        <shadow val="0"/>
        <u val="none"/>
        <vertAlign val="baseline"/>
        <sz val="16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3" formatCode="0%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3" formatCode="0%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Aptos Narrow"/>
        <family val="2"/>
        <scheme val="minor"/>
      </font>
      <border diagonalUp="0" diagonalDown="0" outline="0">
        <left style="double">
          <color rgb="FF3F3F3F"/>
        </left>
        <right style="double">
          <color rgb="FF3F3F3F"/>
        </right>
        <top/>
        <bottom/>
      </border>
    </dxf>
    <dxf>
      <font>
        <strike val="0"/>
        <outline val="0"/>
        <shadow val="0"/>
        <u val="none"/>
        <vertAlign val="baseline"/>
        <sz val="16"/>
        <name val="Aptos Narrow"/>
        <family val="2"/>
        <scheme val="minor"/>
      </font>
      <numFmt numFmtId="27" formatCode="dd/mm/yy\ h:mm"/>
    </dxf>
    <dxf>
      <font>
        <strike val="0"/>
        <outline val="0"/>
        <shadow val="0"/>
        <u val="none"/>
        <vertAlign val="baseline"/>
        <sz val="16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Aptos Narrow"/>
        <family val="2"/>
        <scheme val="minor"/>
      </font>
    </dxf>
    <dxf>
      <border outline="0">
        <bottom style="double">
          <color rgb="FF3F3F3F"/>
        </bottom>
      </border>
    </dxf>
    <dxf>
      <border outline="0">
        <top style="double">
          <color rgb="FF3F3F3F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Users at Each Funnel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Count of User_ID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chemeClr val="accent1"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Sheet3!$A$2:$A$6</c:f>
              <c:strCache>
                <c:ptCount val="5"/>
                <c:pt idx="0">
                  <c:v>visited_site</c:v>
                </c:pt>
                <c:pt idx="1">
                  <c:v>signup_started</c:v>
                </c:pt>
                <c:pt idx="2">
                  <c:v>details_filled</c:v>
                </c:pt>
                <c:pt idx="3">
                  <c:v>email_verified</c:v>
                </c:pt>
                <c:pt idx="4">
                  <c:v>purchase_completed</c:v>
                </c:pt>
              </c:strCache>
            </c:strRef>
          </c:cat>
          <c:val>
            <c:numRef>
              <c:f>Sheet3!$B$2:$B$6</c:f>
              <c:numCache>
                <c:formatCode>General</c:formatCode>
                <c:ptCount val="5"/>
                <c:pt idx="0">
                  <c:v>200</c:v>
                </c:pt>
                <c:pt idx="1">
                  <c:v>150</c:v>
                </c:pt>
                <c:pt idx="2">
                  <c:v>96</c:v>
                </c:pt>
                <c:pt idx="3">
                  <c:v>52</c:v>
                </c:pt>
                <c:pt idx="4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04-6646-9C35-694C65040D9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1167950272"/>
        <c:axId val="1167962368"/>
      </c:barChart>
      <c:catAx>
        <c:axId val="1167950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962368"/>
        <c:crosses val="autoZero"/>
        <c:auto val="1"/>
        <c:lblAlgn val="ctr"/>
        <c:lblOffset val="100"/>
        <c:noMultiLvlLbl val="0"/>
      </c:catAx>
      <c:valAx>
        <c:axId val="1167962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950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_xlchart.v2.3</cx:f>
      </cx:strDim>
      <cx:numDim type="val">
        <cx:f>_xlchart.v2.5</cx:f>
      </cx:numDim>
    </cx:data>
  </cx:chartData>
  <cx:chart>
    <cx:title pos="t" align="ctr" overlay="0">
      <cx:tx>
        <cx:txData>
          <cx:v>Signup Funnel Analysis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500" b="1" i="0" u="none" strike="noStrike" cap="all" spc="100" baseline="0">
              <a:solidFill>
                <a:sysClr val="window" lastClr="FFFFFF"/>
              </a:solidFill>
              <a:latin typeface="Aptos Narrow" panose="02110004020202020204"/>
            </a:rPr>
            <a:t>Signup Funnel Analysis</a:t>
          </a:r>
        </a:p>
      </cx:txPr>
    </cx:title>
    <cx:plotArea>
      <cx:plotAreaRegion>
        <cx:series layoutId="funnel" uniqueId="{62528026-3DF8-D44C-8751-496AA63ECA12}">
          <cx:tx>
            <cx:txData>
              <cx:f>_xlchart.v2.4</cx:f>
              <cx:v>Count of User_ID</cx:v>
            </cx:txData>
          </cx:tx>
          <cx:dataId val="0"/>
        </cx:series>
      </cx:plotAreaRegion>
      <cx:axis id="1">
        <cx:catScaling gapWidth="0.5"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29">
  <cs:axisTitle>
    <cs:lnRef idx="0"/>
    <cs:fillRef idx="0"/>
    <cs:effectRef idx="0"/>
    <cs:fontRef idx="minor">
      <a:schemeClr val="lt1"/>
    </cs:fontRef>
    <cs:defRPr sz="9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/>
    <cs:bodyPr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/>
  </cs:chartArea>
  <cs:dataLabel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  <a:ln w="9525"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/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lt1">
            <a:alpha val="2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/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/>
    <cs:bodyPr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500" b="1" cap="all" spc="100"/>
    <cs:bodyPr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lt1"/>
        </a:solidFill>
        <a:prstDash val="sysDash"/>
      </a:ln>
    </cs:spPr>
  </cs:trendline>
  <cs:trendlineLabel>
    <cs:lnRef idx="0"/>
    <cs:fillRef idx="0"/>
    <cs:effectRef idx="0"/>
    <cs:fontRef idx="minor">
      <a:schemeClr val="lt1"/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lt1"/>
    </cs:fontRef>
    <cs:defRPr sz="9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6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7</xdr:row>
      <xdr:rowOff>31750</xdr:rowOff>
    </xdr:from>
    <xdr:to>
      <xdr:col>2</xdr:col>
      <xdr:colOff>1562100</xdr:colOff>
      <xdr:row>20</xdr:row>
      <xdr:rowOff>133350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CC9B255-CB7B-491B-09EC-39BD542A334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300" y="16827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12700</xdr:colOff>
      <xdr:row>7</xdr:row>
      <xdr:rowOff>6350</xdr:rowOff>
    </xdr:from>
    <xdr:to>
      <xdr:col>8</xdr:col>
      <xdr:colOff>203200</xdr:colOff>
      <xdr:row>20</xdr:row>
      <xdr:rowOff>107950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4AC5F5E-E9BC-B87A-C179-BFDFCEC309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0</xdr:col>
      <xdr:colOff>1</xdr:colOff>
      <xdr:row>24</xdr:row>
      <xdr:rowOff>96368</xdr:rowOff>
    </xdr:from>
    <xdr:ext cx="3505199" cy="468013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FA95E878-BDE6-ECA7-4FB3-F216912BA504}"/>
            </a:ext>
          </a:extLst>
        </xdr:cNvPr>
        <xdr:cNvSpPr/>
      </xdr:nvSpPr>
      <xdr:spPr>
        <a:xfrm>
          <a:off x="1" y="5201768"/>
          <a:ext cx="3505199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GB" sz="2400" b="1" u="none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Recommendation Note</a:t>
          </a:r>
        </a:p>
      </xdr:txBody>
    </xdr:sp>
    <xdr:clientData/>
  </xdr:oneCellAnchor>
  <xdr:oneCellAnchor>
    <xdr:from>
      <xdr:col>0</xdr:col>
      <xdr:colOff>152400</xdr:colOff>
      <xdr:row>26</xdr:row>
      <xdr:rowOff>165100</xdr:rowOff>
    </xdr:from>
    <xdr:ext cx="8851900" cy="1974258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D42176DD-75C8-5A4C-9341-5924ACF10048}"/>
            </a:ext>
          </a:extLst>
        </xdr:cNvPr>
        <xdr:cNvSpPr/>
      </xdr:nvSpPr>
      <xdr:spPr>
        <a:xfrm>
          <a:off x="152400" y="5676900"/>
          <a:ext cx="8851900" cy="1974258"/>
        </a:xfrm>
        <a:prstGeom prst="rect">
          <a:avLst/>
        </a:prstGeom>
        <a:noFill/>
      </xdr:spPr>
      <xdr:txBody>
        <a:bodyPr wrap="square" lIns="91440" tIns="45720" rIns="91440" bIns="45720" anchor="t">
          <a:spAutoFit/>
        </a:bodyPr>
        <a:lstStyle/>
        <a:p>
          <a:pPr algn="l"/>
          <a:r>
            <a:rPr lang="en-IN" sz="2000" b="0" i="0" u="none" strike="noStrike">
              <a:solidFill>
                <a:srgbClr val="000000"/>
              </a:solidFill>
              <a:effectLst/>
              <a:latin typeface="-webkit-standard"/>
            </a:rPr>
            <a:t>The biggest drop-off occurs between Details Filled and Email Verified, where approximately 46% of users leave the funnel. This suggests that the email verification process may be creating friction. To improve conversions, the product team should simplify the verification process by using one-click verification links and sending reminder emails. Reducing this friction can help more users complete the purchase journey.</a:t>
          </a:r>
          <a:endParaRPr lang="en-GB" sz="4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6</xdr:col>
      <xdr:colOff>11861</xdr:colOff>
      <xdr:row>0</xdr:row>
      <xdr:rowOff>63500</xdr:rowOff>
    </xdr:from>
    <xdr:ext cx="2337639" cy="148590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BFF8323A-4F82-756F-9D61-990A81D6C5C0}"/>
            </a:ext>
          </a:extLst>
        </xdr:cNvPr>
        <xdr:cNvSpPr/>
      </xdr:nvSpPr>
      <xdr:spPr>
        <a:xfrm>
          <a:off x="8025561" y="63500"/>
          <a:ext cx="2337639" cy="148590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l"/>
          <a:r>
            <a:rPr lang="en-GB" sz="1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Biggest Drop-off Analysis</a:t>
          </a:r>
        </a:p>
        <a:p>
          <a:pPr algn="l"/>
          <a:endParaRPr lang="en-GB" sz="1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r>
            <a:rPr lang="en-GB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Biggest Drop-off Stage:</a:t>
          </a:r>
        </a:p>
        <a:p>
          <a:pPr algn="l"/>
          <a:r>
            <a:rPr lang="en-GB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Details Filled → Email Verified</a:t>
          </a:r>
        </a:p>
        <a:p>
          <a:pPr algn="l"/>
          <a:r>
            <a:rPr lang="en-GB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Drop-off:</a:t>
          </a:r>
        </a:p>
        <a:p>
          <a:pPr algn="l"/>
          <a:r>
            <a:rPr lang="en-GB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45.83% (≈46%)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d Irshad" refreshedDate="46228.677517245371" createdVersion="8" refreshedVersion="8" minRefreshableVersion="3" recordCount="542" xr:uid="{1AF2CDEA-875C-064B-A2F8-9A59332499B1}">
  <cacheSource type="worksheet">
    <worksheetSource name="Table4"/>
  </cacheSource>
  <cacheFields count="3">
    <cacheField name="User_ID" numFmtId="0">
      <sharedItems count="200">
        <s v="U103"/>
        <s v="U178"/>
        <s v="U074"/>
        <s v="U085"/>
        <s v="U182"/>
        <s v="U079"/>
        <s v="U143"/>
        <s v="U087"/>
        <s v="U068"/>
        <s v="U066"/>
        <s v="U128"/>
        <s v="U028"/>
        <s v="U012"/>
        <s v="U149"/>
        <s v="U130"/>
        <s v="U184"/>
        <s v="U042"/>
        <s v="U059"/>
        <s v="U121"/>
        <s v="U089"/>
        <s v="U125"/>
        <s v="U005"/>
        <s v="U031"/>
        <s v="U167"/>
        <s v="U082"/>
        <s v="U030"/>
        <s v="U025"/>
        <s v="U096"/>
        <s v="U200"/>
        <s v="U131"/>
        <s v="U064"/>
        <s v="U171"/>
        <s v="U027"/>
        <s v="U159"/>
        <s v="U067"/>
        <s v="U119"/>
        <s v="U076"/>
        <s v="U072"/>
        <s v="U013"/>
        <s v="U095"/>
        <s v="U039"/>
        <s v="U009"/>
        <s v="U116"/>
        <s v="U014"/>
        <s v="U172"/>
        <s v="U083"/>
        <s v="U158"/>
        <s v="U113"/>
        <s v="U141"/>
        <s v="U054"/>
        <s v="U133"/>
        <s v="U045"/>
        <s v="U036"/>
        <s v="U093"/>
        <s v="U124"/>
        <s v="U029"/>
        <s v="U097"/>
        <s v="U023"/>
        <s v="U075"/>
        <s v="U132"/>
        <s v="U161"/>
        <s v="U163"/>
        <s v="U196"/>
        <s v="U047"/>
        <s v="U142"/>
        <s v="U016"/>
        <s v="U199"/>
        <s v="U164"/>
        <s v="U109"/>
        <s v="U004"/>
        <s v="U018"/>
        <s v="U073"/>
        <s v="U179"/>
        <s v="U006"/>
        <s v="U044"/>
        <s v="U126"/>
        <s v="U114"/>
        <s v="U062"/>
        <s v="U070"/>
        <s v="U134"/>
        <s v="U019"/>
        <s v="U135"/>
        <s v="U094"/>
        <s v="U040"/>
        <s v="U049"/>
        <s v="U091"/>
        <s v="U112"/>
        <s v="U185"/>
        <s v="U060"/>
        <s v="U098"/>
        <s v="U071"/>
        <s v="U001"/>
        <s v="U032"/>
        <s v="U026"/>
        <s v="U102"/>
        <s v="U061"/>
        <s v="U111"/>
        <s v="U108"/>
        <s v="U020"/>
        <s v="U058"/>
        <s v="U053"/>
        <s v="U152"/>
        <s v="U155"/>
        <s v="U078"/>
        <s v="U165"/>
        <s v="U090"/>
        <s v="U118"/>
        <s v="U157"/>
        <s v="U057"/>
        <s v="U017"/>
        <s v="U197"/>
        <s v="U021"/>
        <s v="U123"/>
        <s v="U080"/>
        <s v="U137"/>
        <s v="U084"/>
        <s v="U086"/>
        <s v="U015"/>
        <s v="U100"/>
        <s v="U138"/>
        <s v="U168"/>
        <s v="U092"/>
        <s v="U051"/>
        <s v="U110"/>
        <s v="U145"/>
        <s v="U140"/>
        <s v="U052"/>
        <s v="U150"/>
        <s v="U024"/>
        <s v="U088"/>
        <s v="U069"/>
        <s v="U153"/>
        <s v="U034"/>
        <s v="U174"/>
        <s v="U010"/>
        <s v="U115"/>
        <s v="U175"/>
        <s v="U035"/>
        <s v="U170"/>
        <s v="U002"/>
        <s v="U104"/>
        <s v="U139"/>
        <s v="U192"/>
        <s v="U046"/>
        <s v="U048"/>
        <s v="U190"/>
        <s v="U043"/>
        <s v="U007"/>
        <s v="U160"/>
        <s v="U101"/>
        <s v="U056"/>
        <s v="U146"/>
        <s v="U033"/>
        <s v="U181"/>
        <s v="U008"/>
        <s v="U055"/>
        <s v="U180"/>
        <s v="U151"/>
        <s v="U189"/>
        <s v="U147"/>
        <s v="U127"/>
        <s v="U081"/>
        <s v="U195"/>
        <s v="U117"/>
        <s v="U162"/>
        <s v="U148"/>
        <s v="U176"/>
        <s v="U041"/>
        <s v="U129"/>
        <s v="U136"/>
        <s v="U193"/>
        <s v="U011"/>
        <s v="U198"/>
        <s v="U166"/>
        <s v="U099"/>
        <s v="U122"/>
        <s v="U183"/>
        <s v="U173"/>
        <s v="U177"/>
        <s v="U022"/>
        <s v="U107"/>
        <s v="U120"/>
        <s v="U191"/>
        <s v="U187"/>
        <s v="U188"/>
        <s v="U063"/>
        <s v="U186"/>
        <s v="U037"/>
        <s v="U003"/>
        <s v="U106"/>
        <s v="U065"/>
        <s v="U169"/>
        <s v="U105"/>
        <s v="U077"/>
        <s v="U144"/>
        <s v="U050"/>
        <s v="U156"/>
        <s v="U154"/>
        <s v="U038"/>
        <s v="U194"/>
      </sharedItems>
    </cacheField>
    <cacheField name="Step" numFmtId="0">
      <sharedItems count="5">
        <s v="signup_started"/>
        <s v="details_filled"/>
        <s v="visited_site"/>
        <s v="email_verified"/>
        <s v="purchase_completed"/>
      </sharedItems>
    </cacheField>
    <cacheField name="TimeStamp" numFmtId="22">
      <sharedItems containsSemiMixedTypes="0" containsNonDate="0" containsDate="1" containsString="0" minDate="2026-07-20T03:30:00" maxDate="2026-07-20T05:09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2">
  <r>
    <x v="0"/>
    <x v="0"/>
    <d v="2026-07-20T04:01:00"/>
  </r>
  <r>
    <x v="1"/>
    <x v="1"/>
    <d v="2026-07-20T04:29:00"/>
  </r>
  <r>
    <x v="2"/>
    <x v="2"/>
    <d v="2026-07-20T04:06:00"/>
  </r>
  <r>
    <x v="3"/>
    <x v="2"/>
    <d v="2026-07-20T03:32:00"/>
  </r>
  <r>
    <x v="4"/>
    <x v="2"/>
    <d v="2026-07-20T03:41:00"/>
  </r>
  <r>
    <x v="5"/>
    <x v="2"/>
    <d v="2026-07-20T03:49:00"/>
  </r>
  <r>
    <x v="6"/>
    <x v="2"/>
    <d v="2026-07-20T04:05:00"/>
  </r>
  <r>
    <x v="7"/>
    <x v="0"/>
    <d v="2026-07-20T04:17:00"/>
  </r>
  <r>
    <x v="8"/>
    <x v="3"/>
    <d v="2026-07-20T04:45:00"/>
  </r>
  <r>
    <x v="9"/>
    <x v="0"/>
    <d v="2026-07-20T03:58:00"/>
  </r>
  <r>
    <x v="10"/>
    <x v="4"/>
    <d v="2026-07-20T04:36:00"/>
  </r>
  <r>
    <x v="11"/>
    <x v="0"/>
    <d v="2026-07-20T04:24:00"/>
  </r>
  <r>
    <x v="12"/>
    <x v="1"/>
    <d v="2026-07-20T04:16:00"/>
  </r>
  <r>
    <x v="13"/>
    <x v="2"/>
    <d v="2026-07-20T03:56:00"/>
  </r>
  <r>
    <x v="14"/>
    <x v="0"/>
    <d v="2026-07-20T04:08:00"/>
  </r>
  <r>
    <x v="15"/>
    <x v="1"/>
    <d v="2026-07-20T04:10:00"/>
  </r>
  <r>
    <x v="16"/>
    <x v="1"/>
    <d v="2026-07-20T04:28:00"/>
  </r>
  <r>
    <x v="17"/>
    <x v="0"/>
    <d v="2026-07-20T03:59:00"/>
  </r>
  <r>
    <x v="18"/>
    <x v="2"/>
    <d v="2026-07-20T03:54:00"/>
  </r>
  <r>
    <x v="19"/>
    <x v="0"/>
    <d v="2026-07-20T04:24:00"/>
  </r>
  <r>
    <x v="20"/>
    <x v="0"/>
    <d v="2026-07-20T04:05:00"/>
  </r>
  <r>
    <x v="21"/>
    <x v="0"/>
    <d v="2026-07-20T04:02:00"/>
  </r>
  <r>
    <x v="22"/>
    <x v="1"/>
    <d v="2026-07-20T04:07:00"/>
  </r>
  <r>
    <x v="23"/>
    <x v="2"/>
    <d v="2026-07-20T03:48:00"/>
  </r>
  <r>
    <x v="24"/>
    <x v="0"/>
    <d v="2026-07-20T04:22:00"/>
  </r>
  <r>
    <x v="25"/>
    <x v="0"/>
    <d v="2026-07-20T03:45:00"/>
  </r>
  <r>
    <x v="26"/>
    <x v="0"/>
    <d v="2026-07-20T04:11:00"/>
  </r>
  <r>
    <x v="27"/>
    <x v="2"/>
    <d v="2026-07-20T03:44:00"/>
  </r>
  <r>
    <x v="28"/>
    <x v="2"/>
    <d v="2026-07-20T03:35:00"/>
  </r>
  <r>
    <x v="29"/>
    <x v="0"/>
    <d v="2026-07-20T03:54:00"/>
  </r>
  <r>
    <x v="30"/>
    <x v="3"/>
    <d v="2026-07-20T04:38:00"/>
  </r>
  <r>
    <x v="31"/>
    <x v="1"/>
    <d v="2026-07-20T04:17:00"/>
  </r>
  <r>
    <x v="32"/>
    <x v="1"/>
    <d v="2026-07-20T04:13:00"/>
  </r>
  <r>
    <x v="33"/>
    <x v="1"/>
    <d v="2026-07-20T04:06:00"/>
  </r>
  <r>
    <x v="34"/>
    <x v="0"/>
    <d v="2026-07-20T04:17:00"/>
  </r>
  <r>
    <x v="35"/>
    <x v="0"/>
    <d v="2026-07-20T04:16:00"/>
  </r>
  <r>
    <x v="36"/>
    <x v="2"/>
    <d v="2026-07-20T03:50:00"/>
  </r>
  <r>
    <x v="32"/>
    <x v="2"/>
    <d v="2026-07-20T03:44:00"/>
  </r>
  <r>
    <x v="37"/>
    <x v="0"/>
    <d v="2026-07-20T03:57:00"/>
  </r>
  <r>
    <x v="38"/>
    <x v="1"/>
    <d v="2026-07-20T04:13:00"/>
  </r>
  <r>
    <x v="39"/>
    <x v="3"/>
    <d v="2026-07-20T04:19:00"/>
  </r>
  <r>
    <x v="13"/>
    <x v="0"/>
    <d v="2026-07-20T04:07:00"/>
  </r>
  <r>
    <x v="40"/>
    <x v="1"/>
    <d v="2026-07-20T04:34:00"/>
  </r>
  <r>
    <x v="41"/>
    <x v="0"/>
    <d v="2026-07-20T04:06:00"/>
  </r>
  <r>
    <x v="42"/>
    <x v="2"/>
    <d v="2026-07-20T03:43:00"/>
  </r>
  <r>
    <x v="43"/>
    <x v="2"/>
    <d v="2026-07-20T03:32:00"/>
  </r>
  <r>
    <x v="44"/>
    <x v="2"/>
    <d v="2026-07-20T03:33:00"/>
  </r>
  <r>
    <x v="45"/>
    <x v="3"/>
    <d v="2026-07-20T04:52:00"/>
  </r>
  <r>
    <x v="46"/>
    <x v="1"/>
    <d v="2026-07-20T04:15:00"/>
  </r>
  <r>
    <x v="47"/>
    <x v="2"/>
    <d v="2026-07-20T03:40:00"/>
  </r>
  <r>
    <x v="48"/>
    <x v="0"/>
    <d v="2026-07-20T04:14:00"/>
  </r>
  <r>
    <x v="49"/>
    <x v="0"/>
    <d v="2026-07-20T04:20:00"/>
  </r>
  <r>
    <x v="50"/>
    <x v="2"/>
    <d v="2026-07-20T04:00:00"/>
  </r>
  <r>
    <x v="51"/>
    <x v="1"/>
    <d v="2026-07-20T04:21:00"/>
  </r>
  <r>
    <x v="12"/>
    <x v="2"/>
    <d v="2026-07-20T03:56:00"/>
  </r>
  <r>
    <x v="52"/>
    <x v="0"/>
    <d v="2026-07-20T03:46:00"/>
  </r>
  <r>
    <x v="53"/>
    <x v="2"/>
    <d v="2026-07-20T03:59:00"/>
  </r>
  <r>
    <x v="54"/>
    <x v="0"/>
    <d v="2026-07-20T04:18:00"/>
  </r>
  <r>
    <x v="20"/>
    <x v="4"/>
    <d v="2026-07-20T04:51:00"/>
  </r>
  <r>
    <x v="55"/>
    <x v="1"/>
    <d v="2026-07-20T04:28:00"/>
  </r>
  <r>
    <x v="56"/>
    <x v="0"/>
    <d v="2026-07-20T03:58:00"/>
  </r>
  <r>
    <x v="57"/>
    <x v="2"/>
    <d v="2026-07-20T03:40:00"/>
  </r>
  <r>
    <x v="58"/>
    <x v="0"/>
    <d v="2026-07-20T03:55:00"/>
  </r>
  <r>
    <x v="59"/>
    <x v="4"/>
    <d v="2026-07-20T05:02:00"/>
  </r>
  <r>
    <x v="60"/>
    <x v="1"/>
    <d v="2026-07-20T04:01:00"/>
  </r>
  <r>
    <x v="35"/>
    <x v="2"/>
    <d v="2026-07-20T03:47:00"/>
  </r>
  <r>
    <x v="61"/>
    <x v="1"/>
    <d v="2026-07-20T04:16:00"/>
  </r>
  <r>
    <x v="62"/>
    <x v="2"/>
    <d v="2026-07-20T03:42:00"/>
  </r>
  <r>
    <x v="63"/>
    <x v="2"/>
    <d v="2026-07-20T03:37:00"/>
  </r>
  <r>
    <x v="64"/>
    <x v="4"/>
    <d v="2026-07-20T05:01:00"/>
  </r>
  <r>
    <x v="65"/>
    <x v="0"/>
    <d v="2026-07-20T03:47:00"/>
  </r>
  <r>
    <x v="66"/>
    <x v="1"/>
    <d v="2026-07-20T04:33:00"/>
  </r>
  <r>
    <x v="67"/>
    <x v="2"/>
    <d v="2026-07-20T03:30:00"/>
  </r>
  <r>
    <x v="65"/>
    <x v="1"/>
    <d v="2026-07-20T04:33:00"/>
  </r>
  <r>
    <x v="68"/>
    <x v="4"/>
    <d v="2026-07-20T04:34:00"/>
  </r>
  <r>
    <x v="69"/>
    <x v="2"/>
    <d v="2026-07-20T04:07:00"/>
  </r>
  <r>
    <x v="70"/>
    <x v="0"/>
    <d v="2026-07-20T04:09:00"/>
  </r>
  <r>
    <x v="71"/>
    <x v="0"/>
    <d v="2026-07-20T03:53:00"/>
  </r>
  <r>
    <x v="72"/>
    <x v="2"/>
    <d v="2026-07-20T03:44:00"/>
  </r>
  <r>
    <x v="73"/>
    <x v="1"/>
    <d v="2026-07-20T04:01:00"/>
  </r>
  <r>
    <x v="74"/>
    <x v="1"/>
    <d v="2026-07-20T04:18:00"/>
  </r>
  <r>
    <x v="70"/>
    <x v="2"/>
    <d v="2026-07-20T04:07:00"/>
  </r>
  <r>
    <x v="75"/>
    <x v="0"/>
    <d v="2026-07-20T04:23:00"/>
  </r>
  <r>
    <x v="76"/>
    <x v="2"/>
    <d v="2026-07-20T03:33:00"/>
  </r>
  <r>
    <x v="77"/>
    <x v="3"/>
    <d v="2026-07-20T04:18:00"/>
  </r>
  <r>
    <x v="44"/>
    <x v="1"/>
    <d v="2026-07-20T04:11:00"/>
  </r>
  <r>
    <x v="78"/>
    <x v="0"/>
    <d v="2026-07-20T03:45:00"/>
  </r>
  <r>
    <x v="79"/>
    <x v="2"/>
    <d v="2026-07-20T04:01:00"/>
  </r>
  <r>
    <x v="80"/>
    <x v="1"/>
    <d v="2026-07-20T04:23:00"/>
  </r>
  <r>
    <x v="81"/>
    <x v="0"/>
    <d v="2026-07-20T03:50:00"/>
  </r>
  <r>
    <x v="82"/>
    <x v="0"/>
    <d v="2026-07-20T04:16:00"/>
  </r>
  <r>
    <x v="9"/>
    <x v="2"/>
    <d v="2026-07-20T03:50:00"/>
  </r>
  <r>
    <x v="38"/>
    <x v="0"/>
    <d v="2026-07-20T03:54:00"/>
  </r>
  <r>
    <x v="56"/>
    <x v="2"/>
    <d v="2026-07-20T03:41:00"/>
  </r>
  <r>
    <x v="5"/>
    <x v="0"/>
    <d v="2026-07-20T04:18:00"/>
  </r>
  <r>
    <x v="83"/>
    <x v="1"/>
    <d v="2026-07-20T04:28:00"/>
  </r>
  <r>
    <x v="73"/>
    <x v="0"/>
    <d v="2026-07-20T04:15:00"/>
  </r>
  <r>
    <x v="84"/>
    <x v="3"/>
    <d v="2026-07-20T04:21:00"/>
  </r>
  <r>
    <x v="85"/>
    <x v="3"/>
    <d v="2026-07-20T04:27:00"/>
  </r>
  <r>
    <x v="25"/>
    <x v="1"/>
    <d v="2026-07-20T04:05:00"/>
  </r>
  <r>
    <x v="86"/>
    <x v="2"/>
    <d v="2026-07-20T03:51:00"/>
  </r>
  <r>
    <x v="78"/>
    <x v="3"/>
    <d v="2026-07-20T04:44:00"/>
  </r>
  <r>
    <x v="11"/>
    <x v="1"/>
    <d v="2026-07-20T04:14:00"/>
  </r>
  <r>
    <x v="17"/>
    <x v="2"/>
    <d v="2026-07-20T04:09:00"/>
  </r>
  <r>
    <x v="63"/>
    <x v="0"/>
    <d v="2026-07-20T04:20:00"/>
  </r>
  <r>
    <x v="53"/>
    <x v="0"/>
    <d v="2026-07-20T03:55:00"/>
  </r>
  <r>
    <x v="87"/>
    <x v="1"/>
    <d v="2026-07-20T04:32:00"/>
  </r>
  <r>
    <x v="88"/>
    <x v="2"/>
    <d v="2026-07-20T03:38:00"/>
  </r>
  <r>
    <x v="89"/>
    <x v="3"/>
    <d v="2026-07-20T04:22:00"/>
  </r>
  <r>
    <x v="90"/>
    <x v="0"/>
    <d v="2026-07-20T04:11:00"/>
  </r>
  <r>
    <x v="62"/>
    <x v="1"/>
    <d v="2026-07-20T04:17:00"/>
  </r>
  <r>
    <x v="0"/>
    <x v="2"/>
    <d v="2026-07-20T03:42:00"/>
  </r>
  <r>
    <x v="91"/>
    <x v="1"/>
    <d v="2026-07-20T04:08:00"/>
  </r>
  <r>
    <x v="77"/>
    <x v="2"/>
    <d v="2026-07-20T04:03:00"/>
  </r>
  <r>
    <x v="92"/>
    <x v="0"/>
    <d v="2026-07-20T03:48:00"/>
  </r>
  <r>
    <x v="26"/>
    <x v="1"/>
    <d v="2026-07-20T04:01:00"/>
  </r>
  <r>
    <x v="93"/>
    <x v="1"/>
    <d v="2026-07-20T04:22:00"/>
  </r>
  <r>
    <x v="71"/>
    <x v="2"/>
    <d v="2026-07-20T03:50:00"/>
  </r>
  <r>
    <x v="79"/>
    <x v="4"/>
    <d v="2026-07-20T05:02:00"/>
  </r>
  <r>
    <x v="94"/>
    <x v="0"/>
    <d v="2026-07-20T04:04:00"/>
  </r>
  <r>
    <x v="95"/>
    <x v="0"/>
    <d v="2026-07-20T04:05:00"/>
  </r>
  <r>
    <x v="49"/>
    <x v="3"/>
    <d v="2026-07-20T04:26:00"/>
  </r>
  <r>
    <x v="96"/>
    <x v="4"/>
    <d v="2026-07-20T04:43:00"/>
  </r>
  <r>
    <x v="97"/>
    <x v="0"/>
    <d v="2026-07-20T03:48:00"/>
  </r>
  <r>
    <x v="98"/>
    <x v="2"/>
    <d v="2026-07-20T03:41:00"/>
  </r>
  <r>
    <x v="99"/>
    <x v="0"/>
    <d v="2026-07-20T04:20:00"/>
  </r>
  <r>
    <x v="88"/>
    <x v="0"/>
    <d v="2026-07-20T03:54:00"/>
  </r>
  <r>
    <x v="100"/>
    <x v="2"/>
    <d v="2026-07-20T03:33:00"/>
  </r>
  <r>
    <x v="92"/>
    <x v="1"/>
    <d v="2026-07-20T04:31:00"/>
  </r>
  <r>
    <x v="50"/>
    <x v="0"/>
    <d v="2026-07-20T04:20:00"/>
  </r>
  <r>
    <x v="101"/>
    <x v="2"/>
    <d v="2026-07-20T03:42:00"/>
  </r>
  <r>
    <x v="102"/>
    <x v="1"/>
    <d v="2026-07-20T04:29:00"/>
  </r>
  <r>
    <x v="103"/>
    <x v="3"/>
    <d v="2026-07-20T04:49:00"/>
  </r>
  <r>
    <x v="42"/>
    <x v="0"/>
    <d v="2026-07-20T04:06:00"/>
  </r>
  <r>
    <x v="104"/>
    <x v="1"/>
    <d v="2026-07-20T04:22:00"/>
  </r>
  <r>
    <x v="105"/>
    <x v="2"/>
    <d v="2026-07-20T03:35:00"/>
  </r>
  <r>
    <x v="106"/>
    <x v="2"/>
    <d v="2026-07-20T03:40:00"/>
  </r>
  <r>
    <x v="107"/>
    <x v="2"/>
    <d v="2026-07-20T03:57:00"/>
  </r>
  <r>
    <x v="57"/>
    <x v="0"/>
    <d v="2026-07-20T04:23:00"/>
  </r>
  <r>
    <x v="108"/>
    <x v="3"/>
    <d v="2026-07-20T04:32:00"/>
  </r>
  <r>
    <x v="109"/>
    <x v="1"/>
    <d v="2026-07-20T04:04:00"/>
  </r>
  <r>
    <x v="110"/>
    <x v="1"/>
    <d v="2026-07-20T04:15:00"/>
  </r>
  <r>
    <x v="111"/>
    <x v="2"/>
    <d v="2026-07-20T04:07:00"/>
  </r>
  <r>
    <x v="112"/>
    <x v="2"/>
    <d v="2026-07-20T03:57:00"/>
  </r>
  <r>
    <x v="113"/>
    <x v="0"/>
    <d v="2026-07-20T04:19:00"/>
  </r>
  <r>
    <x v="114"/>
    <x v="0"/>
    <d v="2026-07-20T03:47:00"/>
  </r>
  <r>
    <x v="115"/>
    <x v="0"/>
    <d v="2026-07-20T03:49:00"/>
  </r>
  <r>
    <x v="95"/>
    <x v="2"/>
    <d v="2026-07-20T03:30:00"/>
  </r>
  <r>
    <x v="116"/>
    <x v="3"/>
    <d v="2026-07-20T04:24:00"/>
  </r>
  <r>
    <x v="117"/>
    <x v="1"/>
    <d v="2026-07-20T04:34:00"/>
  </r>
  <r>
    <x v="53"/>
    <x v="3"/>
    <d v="2026-07-20T04:32:00"/>
  </r>
  <r>
    <x v="57"/>
    <x v="1"/>
    <d v="2026-07-20T04:18:00"/>
  </r>
  <r>
    <x v="118"/>
    <x v="0"/>
    <d v="2026-07-20T03:46:00"/>
  </r>
  <r>
    <x v="119"/>
    <x v="4"/>
    <d v="2026-07-20T05:04:00"/>
  </r>
  <r>
    <x v="120"/>
    <x v="2"/>
    <d v="2026-07-20T04:06:00"/>
  </r>
  <r>
    <x v="10"/>
    <x v="2"/>
    <d v="2026-07-20T03:57:00"/>
  </r>
  <r>
    <x v="121"/>
    <x v="3"/>
    <d v="2026-07-20T04:45:00"/>
  </r>
  <r>
    <x v="86"/>
    <x v="0"/>
    <d v="2026-07-20T03:57:00"/>
  </r>
  <r>
    <x v="122"/>
    <x v="0"/>
    <d v="2026-07-20T04:17:00"/>
  </r>
  <r>
    <x v="109"/>
    <x v="0"/>
    <d v="2026-07-20T03:50:00"/>
  </r>
  <r>
    <x v="2"/>
    <x v="0"/>
    <d v="2026-07-20T04:09:00"/>
  </r>
  <r>
    <x v="82"/>
    <x v="3"/>
    <d v="2026-07-20T04:15:00"/>
  </r>
  <r>
    <x v="27"/>
    <x v="3"/>
    <d v="2026-07-20T04:40:00"/>
  </r>
  <r>
    <x v="123"/>
    <x v="2"/>
    <d v="2026-07-20T04:02:00"/>
  </r>
  <r>
    <x v="86"/>
    <x v="4"/>
    <d v="2026-07-20T04:48:00"/>
  </r>
  <r>
    <x v="124"/>
    <x v="0"/>
    <d v="2026-07-20T04:14:00"/>
  </r>
  <r>
    <x v="5"/>
    <x v="3"/>
    <d v="2026-07-20T04:22:00"/>
  </r>
  <r>
    <x v="99"/>
    <x v="3"/>
    <d v="2026-07-20T04:26:00"/>
  </r>
  <r>
    <x v="125"/>
    <x v="0"/>
    <d v="2026-07-20T04:21:00"/>
  </r>
  <r>
    <x v="126"/>
    <x v="2"/>
    <d v="2026-07-20T03:32:00"/>
  </r>
  <r>
    <x v="100"/>
    <x v="3"/>
    <d v="2026-07-20T04:18:00"/>
  </r>
  <r>
    <x v="127"/>
    <x v="0"/>
    <d v="2026-07-20T03:45:00"/>
  </r>
  <r>
    <x v="18"/>
    <x v="0"/>
    <d v="2026-07-20T04:03:00"/>
  </r>
  <r>
    <x v="46"/>
    <x v="2"/>
    <d v="2026-07-20T03:46:00"/>
  </r>
  <r>
    <x v="80"/>
    <x v="2"/>
    <d v="2026-07-20T03:36:00"/>
  </r>
  <r>
    <x v="128"/>
    <x v="0"/>
    <d v="2026-07-20T04:18:00"/>
  </r>
  <r>
    <x v="129"/>
    <x v="3"/>
    <d v="2026-07-20T04:51:00"/>
  </r>
  <r>
    <x v="75"/>
    <x v="4"/>
    <d v="2026-07-20T04:38:00"/>
  </r>
  <r>
    <x v="130"/>
    <x v="2"/>
    <d v="2026-07-20T03:38:00"/>
  </r>
  <r>
    <x v="131"/>
    <x v="2"/>
    <d v="2026-07-20T03:39:00"/>
  </r>
  <r>
    <x v="39"/>
    <x v="0"/>
    <d v="2026-07-20T03:48:00"/>
  </r>
  <r>
    <x v="132"/>
    <x v="0"/>
    <d v="2026-07-20T04:10:00"/>
  </r>
  <r>
    <x v="133"/>
    <x v="2"/>
    <d v="2026-07-20T03:31:00"/>
  </r>
  <r>
    <x v="134"/>
    <x v="0"/>
    <d v="2026-07-20T04:11:00"/>
  </r>
  <r>
    <x v="94"/>
    <x v="4"/>
    <d v="2026-07-20T04:58:00"/>
  </r>
  <r>
    <x v="135"/>
    <x v="2"/>
    <d v="2026-07-20T03:57:00"/>
  </r>
  <r>
    <x v="136"/>
    <x v="2"/>
    <d v="2026-07-20T03:49:00"/>
  </r>
  <r>
    <x v="137"/>
    <x v="1"/>
    <d v="2026-07-20T04:19:00"/>
  </r>
  <r>
    <x v="138"/>
    <x v="1"/>
    <d v="2026-07-20T04:04:00"/>
  </r>
  <r>
    <x v="7"/>
    <x v="3"/>
    <d v="2026-07-20T04:53:00"/>
  </r>
  <r>
    <x v="102"/>
    <x v="2"/>
    <d v="2026-07-20T03:38:00"/>
  </r>
  <r>
    <x v="139"/>
    <x v="2"/>
    <d v="2026-07-20T03:40:00"/>
  </r>
  <r>
    <x v="140"/>
    <x v="2"/>
    <d v="2026-07-20T03:52:00"/>
  </r>
  <r>
    <x v="66"/>
    <x v="2"/>
    <d v="2026-07-20T03:33:00"/>
  </r>
  <r>
    <x v="93"/>
    <x v="0"/>
    <d v="2026-07-20T03:48:00"/>
  </r>
  <r>
    <x v="89"/>
    <x v="2"/>
    <d v="2026-07-20T03:53:00"/>
  </r>
  <r>
    <x v="141"/>
    <x v="4"/>
    <d v="2026-07-20T05:09:00"/>
  </r>
  <r>
    <x v="142"/>
    <x v="1"/>
    <d v="2026-07-20T04:38:00"/>
  </r>
  <r>
    <x v="143"/>
    <x v="0"/>
    <d v="2026-07-20T03:48:00"/>
  </r>
  <r>
    <x v="144"/>
    <x v="2"/>
    <d v="2026-07-20T04:09:00"/>
  </r>
  <r>
    <x v="145"/>
    <x v="1"/>
    <d v="2026-07-20T04:20:00"/>
  </r>
  <r>
    <x v="146"/>
    <x v="2"/>
    <d v="2026-07-20T04:06:00"/>
  </r>
  <r>
    <x v="147"/>
    <x v="1"/>
    <d v="2026-07-20T04:19:00"/>
  </r>
  <r>
    <x v="130"/>
    <x v="0"/>
    <d v="2026-07-20T04:02:00"/>
  </r>
  <r>
    <x v="129"/>
    <x v="0"/>
    <d v="2026-07-20T03:46:00"/>
  </r>
  <r>
    <x v="94"/>
    <x v="2"/>
    <d v="2026-07-20T03:48:00"/>
  </r>
  <r>
    <x v="78"/>
    <x v="2"/>
    <d v="2026-07-20T03:37:00"/>
  </r>
  <r>
    <x v="109"/>
    <x v="2"/>
    <d v="2026-07-20T04:04:00"/>
  </r>
  <r>
    <x v="103"/>
    <x v="2"/>
    <d v="2026-07-20T04:06:00"/>
  </r>
  <r>
    <x v="148"/>
    <x v="1"/>
    <d v="2026-07-20T04:22:00"/>
  </r>
  <r>
    <x v="137"/>
    <x v="2"/>
    <d v="2026-07-20T03:54:00"/>
  </r>
  <r>
    <x v="134"/>
    <x v="1"/>
    <d v="2026-07-20T04:20:00"/>
  </r>
  <r>
    <x v="149"/>
    <x v="2"/>
    <d v="2026-07-20T03:59:00"/>
  </r>
  <r>
    <x v="150"/>
    <x v="3"/>
    <d v="2026-07-20T04:52:00"/>
  </r>
  <r>
    <x v="3"/>
    <x v="0"/>
    <d v="2026-07-20T03:58:00"/>
  </r>
  <r>
    <x v="111"/>
    <x v="1"/>
    <d v="2026-07-20T04:23:00"/>
  </r>
  <r>
    <x v="151"/>
    <x v="0"/>
    <d v="2026-07-20T04:02:00"/>
  </r>
  <r>
    <x v="116"/>
    <x v="2"/>
    <d v="2026-07-20T03:43:00"/>
  </r>
  <r>
    <x v="138"/>
    <x v="2"/>
    <d v="2026-07-20T03:57:00"/>
  </r>
  <r>
    <x v="15"/>
    <x v="2"/>
    <d v="2026-07-20T03:54:00"/>
  </r>
  <r>
    <x v="152"/>
    <x v="0"/>
    <d v="2026-07-20T03:48:00"/>
  </r>
  <r>
    <x v="132"/>
    <x v="1"/>
    <d v="2026-07-20T04:21:00"/>
  </r>
  <r>
    <x v="153"/>
    <x v="1"/>
    <d v="2026-07-20T04:26:00"/>
  </r>
  <r>
    <x v="18"/>
    <x v="4"/>
    <d v="2026-07-20T04:43:00"/>
  </r>
  <r>
    <x v="106"/>
    <x v="0"/>
    <d v="2026-07-20T03:45:00"/>
  </r>
  <r>
    <x v="126"/>
    <x v="3"/>
    <d v="2026-07-20T04:44:00"/>
  </r>
  <r>
    <x v="8"/>
    <x v="0"/>
    <d v="2026-07-20T04:12:00"/>
  </r>
  <r>
    <x v="43"/>
    <x v="1"/>
    <d v="2026-07-20T04:06:00"/>
  </r>
  <r>
    <x v="154"/>
    <x v="1"/>
    <d v="2026-07-20T04:11:00"/>
  </r>
  <r>
    <x v="155"/>
    <x v="0"/>
    <d v="2026-07-20T03:57:00"/>
  </r>
  <r>
    <x v="156"/>
    <x v="2"/>
    <d v="2026-07-20T03:34:00"/>
  </r>
  <r>
    <x v="81"/>
    <x v="2"/>
    <d v="2026-07-20T04:07:00"/>
  </r>
  <r>
    <x v="157"/>
    <x v="2"/>
    <d v="2026-07-20T04:02:00"/>
  </r>
  <r>
    <x v="119"/>
    <x v="0"/>
    <d v="2026-07-20T03:49:00"/>
  </r>
  <r>
    <x v="20"/>
    <x v="2"/>
    <d v="2026-07-20T04:09:00"/>
  </r>
  <r>
    <x v="158"/>
    <x v="1"/>
    <d v="2026-07-20T04:27:00"/>
  </r>
  <r>
    <x v="117"/>
    <x v="2"/>
    <d v="2026-07-20T04:01:00"/>
  </r>
  <r>
    <x v="143"/>
    <x v="2"/>
    <d v="2026-07-20T03:54:00"/>
  </r>
  <r>
    <x v="159"/>
    <x v="2"/>
    <d v="2026-07-20T03:34:00"/>
  </r>
  <r>
    <x v="160"/>
    <x v="4"/>
    <d v="2026-07-20T04:41:00"/>
  </r>
  <r>
    <x v="55"/>
    <x v="0"/>
    <d v="2026-07-20T04:05:00"/>
  </r>
  <r>
    <x v="38"/>
    <x v="2"/>
    <d v="2026-07-20T03:44:00"/>
  </r>
  <r>
    <x v="101"/>
    <x v="1"/>
    <d v="2026-07-20T04:18:00"/>
  </r>
  <r>
    <x v="161"/>
    <x v="2"/>
    <d v="2026-07-20T04:08:00"/>
  </r>
  <r>
    <x v="98"/>
    <x v="0"/>
    <d v="2026-07-20T04:22:00"/>
  </r>
  <r>
    <x v="29"/>
    <x v="4"/>
    <d v="2026-07-20T04:51:00"/>
  </r>
  <r>
    <x v="79"/>
    <x v="0"/>
    <d v="2026-07-20T03:55:00"/>
  </r>
  <r>
    <x v="162"/>
    <x v="2"/>
    <d v="2026-07-20T03:40:00"/>
  </r>
  <r>
    <x v="163"/>
    <x v="2"/>
    <d v="2026-07-20T03:37:00"/>
  </r>
  <r>
    <x v="37"/>
    <x v="2"/>
    <d v="2026-07-20T03:30:00"/>
  </r>
  <r>
    <x v="28"/>
    <x v="1"/>
    <d v="2026-07-20T04:30:00"/>
  </r>
  <r>
    <x v="117"/>
    <x v="0"/>
    <d v="2026-07-20T04:09:00"/>
  </r>
  <r>
    <x v="87"/>
    <x v="2"/>
    <d v="2026-07-20T03:40:00"/>
  </r>
  <r>
    <x v="164"/>
    <x v="2"/>
    <d v="2026-07-20T03:57:00"/>
  </r>
  <r>
    <x v="76"/>
    <x v="0"/>
    <d v="2026-07-20T04:20:00"/>
  </r>
  <r>
    <x v="131"/>
    <x v="1"/>
    <d v="2026-07-20T04:04:00"/>
  </r>
  <r>
    <x v="48"/>
    <x v="4"/>
    <d v="2026-07-20T04:45:00"/>
  </r>
  <r>
    <x v="52"/>
    <x v="1"/>
    <d v="2026-07-20T04:29:00"/>
  </r>
  <r>
    <x v="165"/>
    <x v="0"/>
    <d v="2026-07-20T04:10:00"/>
  </r>
  <r>
    <x v="21"/>
    <x v="2"/>
    <d v="2026-07-20T04:00:00"/>
  </r>
  <r>
    <x v="107"/>
    <x v="1"/>
    <d v="2026-07-20T04:35:00"/>
  </r>
  <r>
    <x v="95"/>
    <x v="3"/>
    <d v="2026-07-20T04:31:00"/>
  </r>
  <r>
    <x v="69"/>
    <x v="0"/>
    <d v="2026-07-20T04:05:00"/>
  </r>
  <r>
    <x v="163"/>
    <x v="0"/>
    <d v="2026-07-20T03:46:00"/>
  </r>
  <r>
    <x v="137"/>
    <x v="0"/>
    <d v="2026-07-20T03:46:00"/>
  </r>
  <r>
    <x v="155"/>
    <x v="2"/>
    <d v="2026-07-20T03:55:00"/>
  </r>
  <r>
    <x v="16"/>
    <x v="2"/>
    <d v="2026-07-20T04:04:00"/>
  </r>
  <r>
    <x v="166"/>
    <x v="2"/>
    <d v="2026-07-20T03:48:00"/>
  </r>
  <r>
    <x v="146"/>
    <x v="0"/>
    <d v="2026-07-20T03:55:00"/>
  </r>
  <r>
    <x v="50"/>
    <x v="4"/>
    <d v="2026-07-20T05:05:00"/>
  </r>
  <r>
    <x v="115"/>
    <x v="3"/>
    <d v="2026-07-20T04:28:00"/>
  </r>
  <r>
    <x v="84"/>
    <x v="2"/>
    <d v="2026-07-20T03:39:00"/>
  </r>
  <r>
    <x v="41"/>
    <x v="1"/>
    <d v="2026-07-20T04:07:00"/>
  </r>
  <r>
    <x v="111"/>
    <x v="0"/>
    <d v="2026-07-20T04:21:00"/>
  </r>
  <r>
    <x v="135"/>
    <x v="0"/>
    <d v="2026-07-20T03:54:00"/>
  </r>
  <r>
    <x v="167"/>
    <x v="1"/>
    <d v="2026-07-20T04:08:00"/>
  </r>
  <r>
    <x v="164"/>
    <x v="1"/>
    <d v="2026-07-20T04:27:00"/>
  </r>
  <r>
    <x v="168"/>
    <x v="4"/>
    <d v="2026-07-20T05:01:00"/>
  </r>
  <r>
    <x v="22"/>
    <x v="0"/>
    <d v="2026-07-20T04:13:00"/>
  </r>
  <r>
    <x v="169"/>
    <x v="0"/>
    <d v="2026-07-20T03:55:00"/>
  </r>
  <r>
    <x v="118"/>
    <x v="4"/>
    <d v="2026-07-20T04:48:00"/>
  </r>
  <r>
    <x v="170"/>
    <x v="2"/>
    <d v="2026-07-20T03:50:00"/>
  </r>
  <r>
    <x v="133"/>
    <x v="1"/>
    <d v="2026-07-20T04:22:00"/>
  </r>
  <r>
    <x v="151"/>
    <x v="2"/>
    <d v="2026-07-20T04:09:00"/>
  </r>
  <r>
    <x v="147"/>
    <x v="0"/>
    <d v="2026-07-20T03:56:00"/>
  </r>
  <r>
    <x v="108"/>
    <x v="2"/>
    <d v="2026-07-20T04:08:00"/>
  </r>
  <r>
    <x v="40"/>
    <x v="0"/>
    <d v="2026-07-20T04:00:00"/>
  </r>
  <r>
    <x v="171"/>
    <x v="0"/>
    <d v="2026-07-20T03:45:00"/>
  </r>
  <r>
    <x v="172"/>
    <x v="1"/>
    <d v="2026-07-20T04:35:00"/>
  </r>
  <r>
    <x v="10"/>
    <x v="0"/>
    <d v="2026-07-20T04:19:00"/>
  </r>
  <r>
    <x v="173"/>
    <x v="1"/>
    <d v="2026-07-20T04:00:00"/>
  </r>
  <r>
    <x v="9"/>
    <x v="3"/>
    <d v="2026-07-20T04:17:00"/>
  </r>
  <r>
    <x v="174"/>
    <x v="0"/>
    <d v="2026-07-20T04:12:00"/>
  </r>
  <r>
    <x v="175"/>
    <x v="0"/>
    <d v="2026-07-20T03:55:00"/>
  </r>
  <r>
    <x v="81"/>
    <x v="4"/>
    <d v="2026-07-20T05:09:00"/>
  </r>
  <r>
    <x v="8"/>
    <x v="2"/>
    <d v="2026-07-20T03:40:00"/>
  </r>
  <r>
    <x v="139"/>
    <x v="0"/>
    <d v="2026-07-20T03:59:00"/>
  </r>
  <r>
    <x v="96"/>
    <x v="0"/>
    <d v="2026-07-20T04:08:00"/>
  </r>
  <r>
    <x v="58"/>
    <x v="2"/>
    <d v="2026-07-20T03:59:00"/>
  </r>
  <r>
    <x v="176"/>
    <x v="1"/>
    <d v="2026-07-20T04:26:00"/>
  </r>
  <r>
    <x v="142"/>
    <x v="2"/>
    <d v="2026-07-20T04:03:00"/>
  </r>
  <r>
    <x v="71"/>
    <x v="3"/>
    <d v="2026-07-20T04:24:00"/>
  </r>
  <r>
    <x v="105"/>
    <x v="0"/>
    <d v="2026-07-20T03:58:00"/>
  </r>
  <r>
    <x v="165"/>
    <x v="2"/>
    <d v="2026-07-20T03:36:00"/>
  </r>
  <r>
    <x v="154"/>
    <x v="2"/>
    <d v="2026-07-20T03:59:00"/>
  </r>
  <r>
    <x v="99"/>
    <x v="2"/>
    <d v="2026-07-20T03:54:00"/>
  </r>
  <r>
    <x v="45"/>
    <x v="0"/>
    <d v="2026-07-20T04:24:00"/>
  </r>
  <r>
    <x v="125"/>
    <x v="4"/>
    <d v="2026-07-20T05:04:00"/>
  </r>
  <r>
    <x v="177"/>
    <x v="2"/>
    <d v="2026-07-20T04:08:00"/>
  </r>
  <r>
    <x v="169"/>
    <x v="4"/>
    <d v="2026-07-20T04:51:00"/>
  </r>
  <r>
    <x v="122"/>
    <x v="2"/>
    <d v="2026-07-20T03:39:00"/>
  </r>
  <r>
    <x v="122"/>
    <x v="3"/>
    <d v="2026-07-20T04:23:00"/>
  </r>
  <r>
    <x v="121"/>
    <x v="2"/>
    <d v="2026-07-20T04:01:00"/>
  </r>
  <r>
    <x v="104"/>
    <x v="2"/>
    <d v="2026-07-20T03:32:00"/>
  </r>
  <r>
    <x v="160"/>
    <x v="0"/>
    <d v="2026-07-20T03:49:00"/>
  </r>
  <r>
    <x v="14"/>
    <x v="4"/>
    <d v="2026-07-20T04:42:00"/>
  </r>
  <r>
    <x v="39"/>
    <x v="2"/>
    <d v="2026-07-20T04:07:00"/>
  </r>
  <r>
    <x v="6"/>
    <x v="0"/>
    <d v="2026-07-20T03:56:00"/>
  </r>
  <r>
    <x v="178"/>
    <x v="1"/>
    <d v="2026-07-20T04:30:00"/>
  </r>
  <r>
    <x v="129"/>
    <x v="2"/>
    <d v="2026-07-20T03:57:00"/>
  </r>
  <r>
    <x v="132"/>
    <x v="2"/>
    <d v="2026-07-20T03:36:00"/>
  </r>
  <r>
    <x v="173"/>
    <x v="2"/>
    <d v="2026-07-20T03:39:00"/>
  </r>
  <r>
    <x v="42"/>
    <x v="4"/>
    <d v="2026-07-20T04:37:00"/>
  </r>
  <r>
    <x v="83"/>
    <x v="0"/>
    <d v="2026-07-20T04:09:00"/>
  </r>
  <r>
    <x v="4"/>
    <x v="1"/>
    <d v="2026-07-20T04:27:00"/>
  </r>
  <r>
    <x v="146"/>
    <x v="1"/>
    <d v="2026-07-20T04:39:00"/>
  </r>
  <r>
    <x v="171"/>
    <x v="1"/>
    <d v="2026-07-20T04:21:00"/>
  </r>
  <r>
    <x v="128"/>
    <x v="2"/>
    <d v="2026-07-20T03:56:00"/>
  </r>
  <r>
    <x v="163"/>
    <x v="4"/>
    <d v="2026-07-20T04:30:00"/>
  </r>
  <r>
    <x v="179"/>
    <x v="0"/>
    <d v="2026-07-20T03:52:00"/>
  </r>
  <r>
    <x v="149"/>
    <x v="0"/>
    <d v="2026-07-20T04:18:00"/>
  </r>
  <r>
    <x v="140"/>
    <x v="0"/>
    <d v="2026-07-20T03:48:00"/>
  </r>
  <r>
    <x v="161"/>
    <x v="0"/>
    <d v="2026-07-20T03:49:00"/>
  </r>
  <r>
    <x v="85"/>
    <x v="0"/>
    <d v="2026-07-20T03:59:00"/>
  </r>
  <r>
    <x v="64"/>
    <x v="0"/>
    <d v="2026-07-20T04:08:00"/>
  </r>
  <r>
    <x v="144"/>
    <x v="3"/>
    <d v="2026-07-20T04:16:00"/>
  </r>
  <r>
    <x v="156"/>
    <x v="1"/>
    <d v="2026-07-20T04:29:00"/>
  </r>
  <r>
    <x v="91"/>
    <x v="2"/>
    <d v="2026-07-20T04:07:00"/>
  </r>
  <r>
    <x v="1"/>
    <x v="2"/>
    <d v="2026-07-20T03:35:00"/>
  </r>
  <r>
    <x v="114"/>
    <x v="4"/>
    <d v="2026-07-20T04:45:00"/>
  </r>
  <r>
    <x v="103"/>
    <x v="0"/>
    <d v="2026-07-20T03:45:00"/>
  </r>
  <r>
    <x v="174"/>
    <x v="2"/>
    <d v="2026-07-20T04:07:00"/>
  </r>
  <r>
    <x v="7"/>
    <x v="2"/>
    <d v="2026-07-20T03:58:00"/>
  </r>
  <r>
    <x v="93"/>
    <x v="2"/>
    <d v="2026-07-20T03:54:00"/>
  </r>
  <r>
    <x v="90"/>
    <x v="2"/>
    <d v="2026-07-20T03:32:00"/>
  </r>
  <r>
    <x v="180"/>
    <x v="2"/>
    <d v="2026-07-20T03:58:00"/>
  </r>
  <r>
    <x v="150"/>
    <x v="0"/>
    <d v="2026-07-20T03:51:00"/>
  </r>
  <r>
    <x v="154"/>
    <x v="0"/>
    <d v="2026-07-20T03:57:00"/>
  </r>
  <r>
    <x v="141"/>
    <x v="0"/>
    <d v="2026-07-20T03:48:00"/>
  </r>
  <r>
    <x v="181"/>
    <x v="4"/>
    <d v="2026-07-20T05:02:00"/>
  </r>
  <r>
    <x v="123"/>
    <x v="0"/>
    <d v="2026-07-20T04:02:00"/>
  </r>
  <r>
    <x v="182"/>
    <x v="2"/>
    <d v="2026-07-20T03:37:00"/>
  </r>
  <r>
    <x v="145"/>
    <x v="2"/>
    <d v="2026-07-20T03:41:00"/>
  </r>
  <r>
    <x v="31"/>
    <x v="2"/>
    <d v="2026-07-20T04:02:00"/>
  </r>
  <r>
    <x v="24"/>
    <x v="2"/>
    <d v="2026-07-20T04:01:00"/>
  </r>
  <r>
    <x v="108"/>
    <x v="0"/>
    <d v="2026-07-20T03:52:00"/>
  </r>
  <r>
    <x v="83"/>
    <x v="2"/>
    <d v="2026-07-20T03:40:00"/>
  </r>
  <r>
    <x v="21"/>
    <x v="1"/>
    <d v="2026-07-20T04:05:00"/>
  </r>
  <r>
    <x v="23"/>
    <x v="1"/>
    <d v="2026-07-20T04:13:00"/>
  </r>
  <r>
    <x v="92"/>
    <x v="2"/>
    <d v="2026-07-20T04:09:00"/>
  </r>
  <r>
    <x v="176"/>
    <x v="2"/>
    <d v="2026-07-20T03:33:00"/>
  </r>
  <r>
    <x v="183"/>
    <x v="1"/>
    <d v="2026-07-20T04:39:00"/>
  </r>
  <r>
    <x v="184"/>
    <x v="1"/>
    <d v="2026-07-20T04:03:00"/>
  </r>
  <r>
    <x v="185"/>
    <x v="2"/>
    <d v="2026-07-20T04:01:00"/>
  </r>
  <r>
    <x v="181"/>
    <x v="0"/>
    <d v="2026-07-20T03:49:00"/>
  </r>
  <r>
    <x v="72"/>
    <x v="1"/>
    <d v="2026-07-20T04:13:00"/>
  </r>
  <r>
    <x v="186"/>
    <x v="1"/>
    <d v="2026-07-20T04:12:00"/>
  </r>
  <r>
    <x v="187"/>
    <x v="1"/>
    <d v="2026-07-20T04:11:00"/>
  </r>
  <r>
    <x v="123"/>
    <x v="4"/>
    <d v="2026-07-20T04:51:00"/>
  </r>
  <r>
    <x v="188"/>
    <x v="0"/>
    <d v="2026-07-20T03:59:00"/>
  </r>
  <r>
    <x v="139"/>
    <x v="1"/>
    <d v="2026-07-20T04:28:00"/>
  </r>
  <r>
    <x v="183"/>
    <x v="2"/>
    <d v="2026-07-20T03:59:00"/>
  </r>
  <r>
    <x v="159"/>
    <x v="0"/>
    <d v="2026-07-20T04:21:00"/>
  </r>
  <r>
    <x v="189"/>
    <x v="2"/>
    <d v="2026-07-20T03:46:00"/>
  </r>
  <r>
    <x v="170"/>
    <x v="1"/>
    <d v="2026-07-20T04:17:00"/>
  </r>
  <r>
    <x v="128"/>
    <x v="1"/>
    <d v="2026-07-20T04:08:00"/>
  </r>
  <r>
    <x v="41"/>
    <x v="2"/>
    <d v="2026-07-20T03:33:00"/>
  </r>
  <r>
    <x v="34"/>
    <x v="2"/>
    <d v="2026-07-20T03:54:00"/>
  </r>
  <r>
    <x v="157"/>
    <x v="1"/>
    <d v="2026-07-20T04:33:00"/>
  </r>
  <r>
    <x v="45"/>
    <x v="2"/>
    <d v="2026-07-20T03:35:00"/>
  </r>
  <r>
    <x v="169"/>
    <x v="2"/>
    <d v="2026-07-20T03:50:00"/>
  </r>
  <r>
    <x v="186"/>
    <x v="2"/>
    <d v="2026-07-20T03:48:00"/>
  </r>
  <r>
    <x v="116"/>
    <x v="0"/>
    <d v="2026-07-20T04:04:00"/>
  </r>
  <r>
    <x v="190"/>
    <x v="3"/>
    <d v="2026-07-20T04:46:00"/>
  </r>
  <r>
    <x v="191"/>
    <x v="1"/>
    <d v="2026-07-20T04:20:00"/>
  </r>
  <r>
    <x v="153"/>
    <x v="2"/>
    <d v="2026-07-20T03:50:00"/>
  </r>
  <r>
    <x v="149"/>
    <x v="4"/>
    <d v="2026-07-20T05:07:00"/>
  </r>
  <r>
    <x v="192"/>
    <x v="4"/>
    <d v="2026-07-20T04:36:00"/>
  </r>
  <r>
    <x v="134"/>
    <x v="2"/>
    <d v="2026-07-20T03:52:00"/>
  </r>
  <r>
    <x v="63"/>
    <x v="3"/>
    <d v="2026-07-20T04:33:00"/>
  </r>
  <r>
    <x v="27"/>
    <x v="0"/>
    <d v="2026-07-20T04:16:00"/>
  </r>
  <r>
    <x v="100"/>
    <x v="0"/>
    <d v="2026-07-20T04:09:00"/>
  </r>
  <r>
    <x v="178"/>
    <x v="2"/>
    <d v="2026-07-20T03:33:00"/>
  </r>
  <r>
    <x v="136"/>
    <x v="1"/>
    <d v="2026-07-20T04:26:00"/>
  </r>
  <r>
    <x v="58"/>
    <x v="3"/>
    <d v="2026-07-20T04:37:00"/>
  </r>
  <r>
    <x v="114"/>
    <x v="2"/>
    <d v="2026-07-20T03:50:00"/>
  </r>
  <r>
    <x v="12"/>
    <x v="0"/>
    <d v="2026-07-20T04:19:00"/>
  </r>
  <r>
    <x v="106"/>
    <x v="4"/>
    <d v="2026-07-20T05:08:00"/>
  </r>
  <r>
    <x v="179"/>
    <x v="1"/>
    <d v="2026-07-20T04:30:00"/>
  </r>
  <r>
    <x v="119"/>
    <x v="2"/>
    <d v="2026-07-20T03:42:00"/>
  </r>
  <r>
    <x v="188"/>
    <x v="1"/>
    <d v="2026-07-20T04:14:00"/>
  </r>
  <r>
    <x v="80"/>
    <x v="0"/>
    <d v="2026-07-20T04:06:00"/>
  </r>
  <r>
    <x v="91"/>
    <x v="0"/>
    <d v="2026-07-20T04:12:00"/>
  </r>
  <r>
    <x v="180"/>
    <x v="0"/>
    <d v="2026-07-20T04:24:00"/>
  </r>
  <r>
    <x v="113"/>
    <x v="2"/>
    <d v="2026-07-20T04:05:00"/>
  </r>
  <r>
    <x v="152"/>
    <x v="2"/>
    <d v="2026-07-20T04:06:00"/>
  </r>
  <r>
    <x v="152"/>
    <x v="1"/>
    <d v="2026-07-20T04:00:00"/>
  </r>
  <r>
    <x v="193"/>
    <x v="0"/>
    <d v="2026-07-20T03:51:00"/>
  </r>
  <r>
    <x v="36"/>
    <x v="0"/>
    <d v="2026-07-20T04:12:00"/>
  </r>
  <r>
    <x v="126"/>
    <x v="0"/>
    <d v="2026-07-20T04:11:00"/>
  </r>
  <r>
    <x v="194"/>
    <x v="0"/>
    <d v="2026-07-20T03:46:00"/>
  </r>
  <r>
    <x v="168"/>
    <x v="0"/>
    <d v="2026-07-20T04:21:00"/>
  </r>
  <r>
    <x v="189"/>
    <x v="0"/>
    <d v="2026-07-20T03:52:00"/>
  </r>
  <r>
    <x v="74"/>
    <x v="0"/>
    <d v="2026-07-20T04:10:00"/>
  </r>
  <r>
    <x v="192"/>
    <x v="0"/>
    <d v="2026-07-20T04:17:00"/>
  </r>
  <r>
    <x v="98"/>
    <x v="1"/>
    <d v="2026-07-20T04:32:00"/>
  </r>
  <r>
    <x v="40"/>
    <x v="2"/>
    <d v="2026-07-20T03:38:00"/>
  </r>
  <r>
    <x v="19"/>
    <x v="2"/>
    <d v="2026-07-20T04:08:00"/>
  </r>
  <r>
    <x v="120"/>
    <x v="1"/>
    <d v="2026-07-20T04:39:00"/>
  </r>
  <r>
    <x v="17"/>
    <x v="3"/>
    <d v="2026-07-20T04:37:00"/>
  </r>
  <r>
    <x v="188"/>
    <x v="2"/>
    <d v="2026-07-20T04:07:00"/>
  </r>
  <r>
    <x v="16"/>
    <x v="0"/>
    <d v="2026-07-20T03:55:00"/>
  </r>
  <r>
    <x v="121"/>
    <x v="0"/>
    <d v="2026-07-20T03:52:00"/>
  </r>
  <r>
    <x v="143"/>
    <x v="1"/>
    <d v="2026-07-20T04:36:00"/>
  </r>
  <r>
    <x v="112"/>
    <x v="0"/>
    <d v="2026-07-20T04:12:00"/>
  </r>
  <r>
    <x v="195"/>
    <x v="3"/>
    <d v="2026-07-20T04:24:00"/>
  </r>
  <r>
    <x v="155"/>
    <x v="3"/>
    <d v="2026-07-20T04:20:00"/>
  </r>
  <r>
    <x v="196"/>
    <x v="1"/>
    <d v="2026-07-20T04:27:00"/>
  </r>
  <r>
    <x v="70"/>
    <x v="1"/>
    <d v="2026-07-20T04:03:00"/>
  </r>
  <r>
    <x v="197"/>
    <x v="1"/>
    <d v="2026-07-20T04:34:00"/>
  </r>
  <r>
    <x v="191"/>
    <x v="2"/>
    <d v="2026-07-20T04:09:00"/>
  </r>
  <r>
    <x v="89"/>
    <x v="0"/>
    <d v="2026-07-20T03:59:00"/>
  </r>
  <r>
    <x v="69"/>
    <x v="1"/>
    <d v="2026-07-20T04:03:00"/>
  </r>
  <r>
    <x v="68"/>
    <x v="0"/>
    <d v="2026-07-20T04:08:00"/>
  </r>
  <r>
    <x v="67"/>
    <x v="1"/>
    <d v="2026-07-20T04:23:00"/>
  </r>
  <r>
    <x v="82"/>
    <x v="2"/>
    <d v="2026-07-20T03:39:00"/>
  </r>
  <r>
    <x v="22"/>
    <x v="2"/>
    <d v="2026-07-20T03:52:00"/>
  </r>
  <r>
    <x v="75"/>
    <x v="2"/>
    <d v="2026-07-20T04:06:00"/>
  </r>
  <r>
    <x v="198"/>
    <x v="1"/>
    <d v="2026-07-20T04:14:00"/>
  </r>
  <r>
    <x v="85"/>
    <x v="2"/>
    <d v="2026-07-20T03:34:00"/>
  </r>
  <r>
    <x v="158"/>
    <x v="2"/>
    <d v="2026-07-20T03:38:00"/>
  </r>
  <r>
    <x v="118"/>
    <x v="2"/>
    <d v="2026-07-20T03:40:00"/>
  </r>
  <r>
    <x v="148"/>
    <x v="2"/>
    <d v="2026-07-20T03:30:00"/>
  </r>
  <r>
    <x v="140"/>
    <x v="4"/>
    <d v="2026-07-20T04:44:00"/>
  </r>
  <r>
    <x v="190"/>
    <x v="2"/>
    <d v="2026-07-20T03:55:00"/>
  </r>
  <r>
    <x v="55"/>
    <x v="2"/>
    <d v="2026-07-20T03:32:00"/>
  </r>
  <r>
    <x v="54"/>
    <x v="2"/>
    <d v="2026-07-20T03:38:00"/>
  </r>
  <r>
    <x v="144"/>
    <x v="0"/>
    <d v="2026-07-20T04:18:00"/>
  </r>
  <r>
    <x v="182"/>
    <x v="1"/>
    <d v="2026-07-20T04:35:00"/>
  </r>
  <r>
    <x v="160"/>
    <x v="2"/>
    <d v="2026-07-20T03:51:00"/>
  </r>
  <r>
    <x v="54"/>
    <x v="4"/>
    <d v="2026-07-20T04:37:00"/>
  </r>
  <r>
    <x v="88"/>
    <x v="3"/>
    <d v="2026-07-20T04:44:00"/>
  </r>
  <r>
    <x v="84"/>
    <x v="0"/>
    <d v="2026-07-20T04:00:00"/>
  </r>
  <r>
    <x v="26"/>
    <x v="2"/>
    <d v="2026-07-20T03:34:00"/>
  </r>
  <r>
    <x v="73"/>
    <x v="2"/>
    <d v="2026-07-20T03:34:00"/>
  </r>
  <r>
    <x v="115"/>
    <x v="2"/>
    <d v="2026-07-20T04:00:00"/>
  </r>
  <r>
    <x v="187"/>
    <x v="0"/>
    <d v="2026-07-20T04:21:00"/>
  </r>
  <r>
    <x v="47"/>
    <x v="0"/>
    <d v="2026-07-20T04:14:00"/>
  </r>
  <r>
    <x v="192"/>
    <x v="2"/>
    <d v="2026-07-20T03:30:00"/>
  </r>
  <r>
    <x v="166"/>
    <x v="1"/>
    <d v="2026-07-20T04:32:00"/>
  </r>
  <r>
    <x v="36"/>
    <x v="3"/>
    <d v="2026-07-20T04:28:00"/>
  </r>
  <r>
    <x v="161"/>
    <x v="3"/>
    <d v="2026-07-20T04:48:00"/>
  </r>
  <r>
    <x v="177"/>
    <x v="1"/>
    <d v="2026-07-20T04:30:00"/>
  </r>
  <r>
    <x v="59"/>
    <x v="0"/>
    <d v="2026-07-20T04:05:00"/>
  </r>
  <r>
    <x v="19"/>
    <x v="3"/>
    <d v="2026-07-20T04:28:00"/>
  </r>
  <r>
    <x v="43"/>
    <x v="0"/>
    <d v="2026-07-20T04:20:00"/>
  </r>
  <r>
    <x v="199"/>
    <x v="2"/>
    <d v="2026-07-20T04:00:00"/>
  </r>
  <r>
    <x v="193"/>
    <x v="3"/>
    <d v="2026-07-20T04:30:00"/>
  </r>
  <r>
    <x v="199"/>
    <x v="1"/>
    <d v="2026-07-20T04:06:00"/>
  </r>
  <r>
    <x v="2"/>
    <x v="3"/>
    <d v="2026-07-20T04:30:00"/>
  </r>
  <r>
    <x v="162"/>
    <x v="1"/>
    <d v="2026-07-20T04:35:00"/>
  </r>
  <r>
    <x v="198"/>
    <x v="2"/>
    <d v="2026-07-20T04:04:00"/>
  </r>
  <r>
    <x v="135"/>
    <x v="4"/>
    <d v="2026-07-20T04:38:00"/>
  </r>
  <r>
    <x v="0"/>
    <x v="4"/>
    <d v="2026-07-20T04:47:00"/>
  </r>
  <r>
    <x v="175"/>
    <x v="4"/>
    <d v="2026-07-20T04:36:00"/>
  </r>
  <r>
    <x v="96"/>
    <x v="2"/>
    <d v="2026-07-20T03:38:00"/>
  </r>
  <r>
    <x v="167"/>
    <x v="0"/>
    <d v="2026-07-20T03:59:00"/>
  </r>
  <r>
    <x v="113"/>
    <x v="3"/>
    <d v="2026-07-20T04:28:00"/>
  </r>
  <r>
    <x v="193"/>
    <x v="2"/>
    <d v="2026-07-20T03:59:00"/>
  </r>
  <r>
    <x v="47"/>
    <x v="4"/>
    <d v="2026-07-20T04:36:00"/>
  </r>
  <r>
    <x v="33"/>
    <x v="2"/>
    <d v="2026-07-20T03:43:00"/>
  </r>
  <r>
    <x v="112"/>
    <x v="4"/>
    <d v="2026-07-20T04:52:00"/>
  </r>
  <r>
    <x v="174"/>
    <x v="4"/>
    <d v="2026-07-20T05:09:00"/>
  </r>
  <r>
    <x v="77"/>
    <x v="0"/>
    <d v="2026-07-20T03:51:00"/>
  </r>
  <r>
    <x v="68"/>
    <x v="2"/>
    <d v="2026-07-20T03:37:00"/>
  </r>
  <r>
    <x v="90"/>
    <x v="3"/>
    <d v="2026-07-20T04:48:00"/>
  </r>
  <r>
    <x v="130"/>
    <x v="3"/>
    <d v="2026-07-20T04:50:00"/>
  </r>
  <r>
    <x v="24"/>
    <x v="3"/>
    <d v="2026-07-20T04:30:00"/>
  </r>
  <r>
    <x v="34"/>
    <x v="3"/>
    <d v="2026-07-20T04:23:00"/>
  </r>
  <r>
    <x v="56"/>
    <x v="3"/>
    <d v="2026-07-20T04:20:00"/>
  </r>
  <r>
    <x v="185"/>
    <x v="3"/>
    <d v="2026-07-20T04:21:00"/>
  </r>
  <r>
    <x v="76"/>
    <x v="4"/>
    <d v="2026-07-20T04:47:00"/>
  </r>
  <r>
    <x v="127"/>
    <x v="2"/>
    <d v="2026-07-20T04:01:00"/>
  </r>
  <r>
    <x v="3"/>
    <x v="3"/>
    <d v="2026-07-20T04:41:00"/>
  </r>
  <r>
    <x v="25"/>
    <x v="2"/>
    <d v="2026-07-20T03:59:00"/>
  </r>
  <r>
    <x v="97"/>
    <x v="4"/>
    <d v="2026-07-20T04:54:00"/>
  </r>
  <r>
    <x v="60"/>
    <x v="2"/>
    <d v="2026-07-20T04:04:00"/>
  </r>
  <r>
    <x v="189"/>
    <x v="4"/>
    <d v="2026-07-20T05:01:00"/>
  </r>
  <r>
    <x v="37"/>
    <x v="3"/>
    <d v="2026-07-20T04:20:00"/>
  </r>
  <r>
    <x v="105"/>
    <x v="3"/>
    <d v="2026-07-20T04:20:00"/>
  </r>
  <r>
    <x v="51"/>
    <x v="0"/>
    <d v="2026-07-20T04:16:00"/>
  </r>
  <r>
    <x v="35"/>
    <x v="4"/>
    <d v="2026-07-20T04:53:00"/>
  </r>
  <r>
    <x v="97"/>
    <x v="2"/>
    <d v="2026-07-20T03:36:00"/>
  </r>
  <r>
    <x v="187"/>
    <x v="2"/>
    <d v="2026-07-20T03:42:00"/>
  </r>
  <r>
    <x v="32"/>
    <x v="0"/>
    <d v="2026-07-20T04:16:00"/>
  </r>
  <r>
    <x v="180"/>
    <x v="4"/>
    <d v="2026-07-20T04:38:00"/>
  </r>
  <r>
    <x v="175"/>
    <x v="2"/>
    <d v="2026-07-20T04:04:00"/>
  </r>
  <r>
    <x v="48"/>
    <x v="2"/>
    <d v="2026-07-20T03:40:00"/>
  </r>
  <r>
    <x v="198"/>
    <x v="0"/>
    <d v="2026-07-20T04:20:00"/>
  </r>
  <r>
    <x v="195"/>
    <x v="0"/>
    <d v="2026-07-20T04:02:00"/>
  </r>
  <r>
    <x v="181"/>
    <x v="2"/>
    <d v="2026-07-20T04:08:00"/>
  </r>
  <r>
    <x v="185"/>
    <x v="0"/>
    <d v="2026-07-20T03:51:00"/>
  </r>
  <r>
    <x v="49"/>
    <x v="2"/>
    <d v="2026-07-20T03:30:00"/>
  </r>
  <r>
    <x v="147"/>
    <x v="2"/>
    <d v="2026-07-20T04:01:00"/>
  </r>
  <r>
    <x v="30"/>
    <x v="0"/>
    <d v="2026-07-20T04:11:00"/>
  </r>
  <r>
    <x v="195"/>
    <x v="2"/>
    <d v="2026-07-20T03:49:00"/>
  </r>
  <r>
    <x v="168"/>
    <x v="2"/>
    <d v="2026-07-20T03:41:00"/>
  </r>
  <r>
    <x v="190"/>
    <x v="0"/>
    <d v="2026-07-20T04:06:00"/>
  </r>
  <r>
    <x v="141"/>
    <x v="2"/>
    <d v="2026-07-20T03:51:00"/>
  </r>
  <r>
    <x v="14"/>
    <x v="2"/>
    <d v="2026-07-20T03:39:00"/>
  </r>
  <r>
    <x v="51"/>
    <x v="2"/>
    <d v="2026-07-20T03:52:00"/>
  </r>
  <r>
    <x v="124"/>
    <x v="2"/>
    <d v="2026-07-20T03:35:00"/>
  </r>
  <r>
    <x v="150"/>
    <x v="2"/>
    <d v="2026-07-20T04:01:00"/>
  </r>
  <r>
    <x v="30"/>
    <x v="2"/>
    <d v="2026-07-20T03:48:00"/>
  </r>
  <r>
    <x v="125"/>
    <x v="2"/>
    <d v="2026-07-20T03:49:00"/>
  </r>
  <r>
    <x v="167"/>
    <x v="2"/>
    <d v="2026-07-20T04:01:00"/>
  </r>
  <r>
    <x v="29"/>
    <x v="2"/>
    <d v="2026-07-20T03:47:00"/>
  </r>
  <r>
    <x v="74"/>
    <x v="2"/>
    <d v="2026-07-20T03:39:00"/>
  </r>
  <r>
    <x v="59"/>
    <x v="2"/>
    <d v="2026-07-20T03:44:00"/>
  </r>
  <r>
    <x v="179"/>
    <x v="2"/>
    <d v="2026-07-20T04:05:00"/>
  </r>
  <r>
    <x v="64"/>
    <x v="2"/>
    <d v="2026-07-20T03:48:00"/>
  </r>
  <r>
    <x v="11"/>
    <x v="2"/>
    <d v="2026-07-20T04:01:00"/>
  </r>
  <r>
    <x v="65"/>
    <x v="2"/>
    <d v="2026-07-20T03:53:00"/>
  </r>
  <r>
    <x v="171"/>
    <x v="2"/>
    <d v="2026-07-20T03:57:00"/>
  </r>
  <r>
    <x v="184"/>
    <x v="2"/>
    <d v="2026-07-20T03:40:00"/>
  </r>
  <r>
    <x v="52"/>
    <x v="2"/>
    <d v="2026-07-20T03:49:00"/>
  </r>
  <r>
    <x v="194"/>
    <x v="2"/>
    <d v="2026-07-20T03:46:00"/>
  </r>
  <r>
    <x v="197"/>
    <x v="2"/>
    <d v="2026-07-20T04:09:00"/>
  </r>
  <r>
    <x v="61"/>
    <x v="2"/>
    <d v="2026-07-20T03:37:00"/>
  </r>
  <r>
    <x v="196"/>
    <x v="2"/>
    <d v="2026-07-20T03:49:00"/>
  </r>
  <r>
    <x v="110"/>
    <x v="2"/>
    <d v="2026-07-20T04:05:00"/>
  </r>
  <r>
    <x v="172"/>
    <x v="2"/>
    <d v="2026-07-20T04:01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AB7F72-DD25-FD49-9D09-B827E772E61B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3">
    <pivotField dataField="1" showAll="0">
      <items count="201">
        <item x="91"/>
        <item x="139"/>
        <item x="188"/>
        <item x="69"/>
        <item x="21"/>
        <item x="73"/>
        <item x="147"/>
        <item x="154"/>
        <item x="41"/>
        <item x="134"/>
        <item x="171"/>
        <item x="12"/>
        <item x="38"/>
        <item x="43"/>
        <item x="117"/>
        <item x="65"/>
        <item x="109"/>
        <item x="70"/>
        <item x="80"/>
        <item x="98"/>
        <item x="111"/>
        <item x="179"/>
        <item x="57"/>
        <item x="128"/>
        <item x="26"/>
        <item x="93"/>
        <item x="32"/>
        <item x="11"/>
        <item x="55"/>
        <item x="25"/>
        <item x="22"/>
        <item x="92"/>
        <item x="152"/>
        <item x="132"/>
        <item x="137"/>
        <item x="52"/>
        <item x="187"/>
        <item x="198"/>
        <item x="40"/>
        <item x="83"/>
        <item x="167"/>
        <item x="16"/>
        <item x="146"/>
        <item x="74"/>
        <item x="51"/>
        <item x="143"/>
        <item x="63"/>
        <item x="144"/>
        <item x="84"/>
        <item x="195"/>
        <item x="122"/>
        <item x="126"/>
        <item x="100"/>
        <item x="49"/>
        <item x="155"/>
        <item x="150"/>
        <item x="108"/>
        <item x="99"/>
        <item x="17"/>
        <item x="88"/>
        <item x="95"/>
        <item x="77"/>
        <item x="185"/>
        <item x="30"/>
        <item x="190"/>
        <item x="9"/>
        <item x="34"/>
        <item x="8"/>
        <item x="130"/>
        <item x="78"/>
        <item x="90"/>
        <item x="37"/>
        <item x="71"/>
        <item x="2"/>
        <item x="58"/>
        <item x="36"/>
        <item x="193"/>
        <item x="103"/>
        <item x="5"/>
        <item x="113"/>
        <item x="161"/>
        <item x="24"/>
        <item x="45"/>
        <item x="115"/>
        <item x="3"/>
        <item x="116"/>
        <item x="7"/>
        <item x="129"/>
        <item x="19"/>
        <item x="105"/>
        <item x="85"/>
        <item x="121"/>
        <item x="53"/>
        <item x="82"/>
        <item x="39"/>
        <item x="27"/>
        <item x="56"/>
        <item x="89"/>
        <item x="174"/>
        <item x="118"/>
        <item x="149"/>
        <item x="94"/>
        <item x="0"/>
        <item x="140"/>
        <item x="192"/>
        <item x="189"/>
        <item x="180"/>
        <item x="97"/>
        <item x="68"/>
        <item x="123"/>
        <item x="96"/>
        <item x="86"/>
        <item x="47"/>
        <item x="76"/>
        <item x="135"/>
        <item x="42"/>
        <item x="163"/>
        <item x="106"/>
        <item x="35"/>
        <item x="181"/>
        <item x="18"/>
        <item x="175"/>
        <item x="112"/>
        <item x="54"/>
        <item x="20"/>
        <item x="75"/>
        <item x="160"/>
        <item x="10"/>
        <item x="168"/>
        <item x="14"/>
        <item x="29"/>
        <item x="59"/>
        <item x="50"/>
        <item x="79"/>
        <item x="81"/>
        <item x="169"/>
        <item x="114"/>
        <item x="119"/>
        <item x="141"/>
        <item x="125"/>
        <item x="48"/>
        <item x="64"/>
        <item x="6"/>
        <item x="194"/>
        <item x="124"/>
        <item x="151"/>
        <item x="159"/>
        <item x="165"/>
        <item x="13"/>
        <item x="127"/>
        <item x="157"/>
        <item x="101"/>
        <item x="131"/>
        <item x="197"/>
        <item x="102"/>
        <item x="196"/>
        <item x="107"/>
        <item x="46"/>
        <item x="33"/>
        <item x="148"/>
        <item x="60"/>
        <item x="164"/>
        <item x="61"/>
        <item x="67"/>
        <item x="104"/>
        <item x="173"/>
        <item x="23"/>
        <item x="120"/>
        <item x="191"/>
        <item x="138"/>
        <item x="31"/>
        <item x="44"/>
        <item x="177"/>
        <item x="133"/>
        <item x="136"/>
        <item x="166"/>
        <item x="178"/>
        <item x="1"/>
        <item x="72"/>
        <item x="156"/>
        <item x="153"/>
        <item x="4"/>
        <item x="176"/>
        <item x="15"/>
        <item x="87"/>
        <item x="186"/>
        <item x="183"/>
        <item x="184"/>
        <item x="158"/>
        <item x="145"/>
        <item x="182"/>
        <item x="142"/>
        <item x="170"/>
        <item x="199"/>
        <item x="162"/>
        <item x="62"/>
        <item x="110"/>
        <item x="172"/>
        <item x="66"/>
        <item x="28"/>
        <item t="default"/>
      </items>
    </pivotField>
    <pivotField axis="axisRow" showAll="0">
      <items count="6">
        <item x="2"/>
        <item x="0"/>
        <item x="1"/>
        <item x="3"/>
        <item x="4"/>
        <item t="default"/>
      </items>
    </pivotField>
    <pivotField numFmtId="22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BD26C0C-E3DD-BF4E-853F-6DEEFFD6C39D}" name="Table4" displayName="Table4" ref="A1:D543" totalsRowShown="0" headerRowDxfId="9" dataDxfId="8" headerRowBorderDxfId="13" tableBorderDxfId="14" headerRowCellStyle="Neutral">
  <autoFilter ref="A1:D543" xr:uid="{3BD26C0C-E3DD-BF4E-853F-6DEEFFD6C39D}"/>
  <tableColumns count="4">
    <tableColumn id="1" xr3:uid="{1B6B0CD1-1D0C-9A44-8BDB-6DDFC8E989C2}" name="User_ID" dataDxfId="12"/>
    <tableColumn id="2" xr3:uid="{75C67320-CCFA-8241-9469-B3F7B165E7E0}" name="Step" dataDxfId="11"/>
    <tableColumn id="3" xr3:uid="{5513F8E6-973E-FA46-B88C-0097262EE23A}" name="TimeStamp" dataDxfId="10"/>
    <tableColumn id="5" xr3:uid="{BD0BEF7F-311E-0947-A791-099FE12CAEF9}" name="Segment" dataDxfId="0">
      <calculatedColumnFormula>IF(VALUE(RIGHT(A2,1))&lt;=4,"Segment A","Segment B")</calculatedColumnFormula>
    </tableColumn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F293E63-DE38-EB41-9137-8D99429CE33A}" name="Table5" displayName="Table5" ref="A1:E6" totalsRowShown="0" headerRowDxfId="5" dataDxfId="4">
  <autoFilter ref="A1:E6" xr:uid="{CF293E63-DE38-EB41-9137-8D99429CE33A}"/>
  <tableColumns count="5">
    <tableColumn id="1" xr3:uid="{C40B6837-D768-E94E-9C70-A637A5CBDE2F}" name="Row Labels" dataDxfId="7"/>
    <tableColumn id="2" xr3:uid="{11B3ECF9-3142-B741-B204-AE3B579E8913}" name="Count of User_ID" dataDxfId="6"/>
    <tableColumn id="3" xr3:uid="{90D1FE1D-8F36-2C4C-91D6-837E92C92DE5}" name="Conversion Rate (%)" dataDxfId="3">
      <calculatedColumnFormula>B2/B1</calculatedColumnFormula>
    </tableColumn>
    <tableColumn id="4" xr3:uid="{A7A852CB-B637-994C-A685-18411270C083}" name="Drop-off" dataDxfId="2">
      <calculatedColumnFormula>1-C2</calculatedColumnFormula>
    </tableColumn>
    <tableColumn id="5" xr3:uid="{F2CA7361-3452-1C43-82D5-526297834C35}" name="Flag" dataDxfId="1">
      <calculatedColumnFormula>IF(D2=MAX($D$3:$D$6),"Biggest Drop-off","")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7795A-ACC5-4144-A4AE-61A3C9F39C5B}">
  <dimension ref="A1:D543"/>
  <sheetViews>
    <sheetView workbookViewId="0">
      <selection activeCell="G16" sqref="G16"/>
    </sheetView>
  </sheetViews>
  <sheetFormatPr baseColWidth="10" defaultRowHeight="16" x14ac:dyDescent="0.2"/>
  <cols>
    <col min="1" max="1" width="12" bestFit="1" customWidth="1"/>
    <col min="2" max="2" width="24.33203125" bestFit="1" customWidth="1"/>
    <col min="3" max="3" width="24" customWidth="1"/>
    <col min="4" max="4" width="13.33203125" bestFit="1" customWidth="1"/>
  </cols>
  <sheetData>
    <row r="1" spans="1:4" ht="23" thickBot="1" x14ac:dyDescent="0.35">
      <c r="A1" s="2" t="s">
        <v>205</v>
      </c>
      <c r="B1" s="2" t="s">
        <v>206</v>
      </c>
      <c r="C1" s="2" t="s">
        <v>207</v>
      </c>
      <c r="D1" s="2" t="s">
        <v>214</v>
      </c>
    </row>
    <row r="2" spans="1:4" ht="23" thickTop="1" x14ac:dyDescent="0.3">
      <c r="A2" s="3" t="s">
        <v>0</v>
      </c>
      <c r="B2" s="3" t="s">
        <v>1</v>
      </c>
      <c r="C2" s="4">
        <v>46223.167361111111</v>
      </c>
      <c r="D2" s="3" t="str">
        <f t="shared" ref="D2:D65" si="0">IF(VALUE(RIGHT(A2,1))&lt;=4,"Segment A","Segment B")</f>
        <v>Segment A</v>
      </c>
    </row>
    <row r="3" spans="1:4" ht="22" x14ac:dyDescent="0.3">
      <c r="A3" s="3" t="s">
        <v>2</v>
      </c>
      <c r="B3" s="3" t="s">
        <v>3</v>
      </c>
      <c r="C3" s="4">
        <v>46223.186805555553</v>
      </c>
      <c r="D3" s="3" t="str">
        <f t="shared" si="0"/>
        <v>Segment B</v>
      </c>
    </row>
    <row r="4" spans="1:4" ht="22" x14ac:dyDescent="0.3">
      <c r="A4" s="3" t="s">
        <v>4</v>
      </c>
      <c r="B4" s="3" t="s">
        <v>5</v>
      </c>
      <c r="C4" s="4">
        <v>46223.17083333333</v>
      </c>
      <c r="D4" s="3" t="str">
        <f t="shared" si="0"/>
        <v>Segment A</v>
      </c>
    </row>
    <row r="5" spans="1:4" ht="22" x14ac:dyDescent="0.3">
      <c r="A5" s="3" t="s">
        <v>6</v>
      </c>
      <c r="B5" s="3" t="s">
        <v>5</v>
      </c>
      <c r="C5" s="4">
        <v>46223.147222222222</v>
      </c>
      <c r="D5" s="3" t="str">
        <f t="shared" si="0"/>
        <v>Segment B</v>
      </c>
    </row>
    <row r="6" spans="1:4" ht="22" x14ac:dyDescent="0.3">
      <c r="A6" s="3" t="s">
        <v>7</v>
      </c>
      <c r="B6" s="3" t="s">
        <v>5</v>
      </c>
      <c r="C6" s="4">
        <v>46223.15347222222</v>
      </c>
      <c r="D6" s="3" t="str">
        <f t="shared" si="0"/>
        <v>Segment A</v>
      </c>
    </row>
    <row r="7" spans="1:4" ht="22" x14ac:dyDescent="0.3">
      <c r="A7" s="3" t="s">
        <v>8</v>
      </c>
      <c r="B7" s="3" t="s">
        <v>5</v>
      </c>
      <c r="C7" s="4">
        <v>46223.15902777778</v>
      </c>
      <c r="D7" s="3" t="str">
        <f t="shared" si="0"/>
        <v>Segment B</v>
      </c>
    </row>
    <row r="8" spans="1:4" ht="22" x14ac:dyDescent="0.3">
      <c r="A8" s="3" t="s">
        <v>9</v>
      </c>
      <c r="B8" s="3" t="s">
        <v>5</v>
      </c>
      <c r="C8" s="4">
        <v>46223.170138888891</v>
      </c>
      <c r="D8" s="3" t="str">
        <f t="shared" si="0"/>
        <v>Segment A</v>
      </c>
    </row>
    <row r="9" spans="1:4" ht="22" x14ac:dyDescent="0.3">
      <c r="A9" s="3" t="s">
        <v>10</v>
      </c>
      <c r="B9" s="3" t="s">
        <v>1</v>
      </c>
      <c r="C9" s="4">
        <v>46223.178472222222</v>
      </c>
      <c r="D9" s="3" t="str">
        <f t="shared" si="0"/>
        <v>Segment B</v>
      </c>
    </row>
    <row r="10" spans="1:4" ht="22" x14ac:dyDescent="0.3">
      <c r="A10" s="3" t="s">
        <v>11</v>
      </c>
      <c r="B10" s="3" t="s">
        <v>12</v>
      </c>
      <c r="C10" s="4">
        <v>46223.197916666664</v>
      </c>
      <c r="D10" s="3" t="str">
        <f t="shared" si="0"/>
        <v>Segment B</v>
      </c>
    </row>
    <row r="11" spans="1:4" ht="22" x14ac:dyDescent="0.3">
      <c r="A11" s="3" t="s">
        <v>13</v>
      </c>
      <c r="B11" s="3" t="s">
        <v>1</v>
      </c>
      <c r="C11" s="4">
        <v>46223.165277777778</v>
      </c>
      <c r="D11" s="3" t="str">
        <f t="shared" si="0"/>
        <v>Segment B</v>
      </c>
    </row>
    <row r="12" spans="1:4" ht="22" x14ac:dyDescent="0.3">
      <c r="A12" s="3" t="s">
        <v>14</v>
      </c>
      <c r="B12" s="3" t="s">
        <v>15</v>
      </c>
      <c r="C12" s="4">
        <v>46223.191666666666</v>
      </c>
      <c r="D12" s="3" t="str">
        <f t="shared" si="0"/>
        <v>Segment B</v>
      </c>
    </row>
    <row r="13" spans="1:4" ht="22" x14ac:dyDescent="0.3">
      <c r="A13" s="3" t="s">
        <v>16</v>
      </c>
      <c r="B13" s="3" t="s">
        <v>1</v>
      </c>
      <c r="C13" s="4">
        <v>46223.183333333334</v>
      </c>
      <c r="D13" s="3" t="str">
        <f t="shared" si="0"/>
        <v>Segment B</v>
      </c>
    </row>
    <row r="14" spans="1:4" ht="22" x14ac:dyDescent="0.3">
      <c r="A14" s="3" t="s">
        <v>17</v>
      </c>
      <c r="B14" s="3" t="s">
        <v>3</v>
      </c>
      <c r="C14" s="4">
        <v>46223.177777777775</v>
      </c>
      <c r="D14" s="3" t="str">
        <f t="shared" si="0"/>
        <v>Segment A</v>
      </c>
    </row>
    <row r="15" spans="1:4" ht="22" x14ac:dyDescent="0.3">
      <c r="A15" s="3" t="s">
        <v>18</v>
      </c>
      <c r="B15" s="3" t="s">
        <v>5</v>
      </c>
      <c r="C15" s="4">
        <v>46223.163888888892</v>
      </c>
      <c r="D15" s="3" t="str">
        <f t="shared" si="0"/>
        <v>Segment B</v>
      </c>
    </row>
    <row r="16" spans="1:4" ht="22" x14ac:dyDescent="0.3">
      <c r="A16" s="3" t="s">
        <v>19</v>
      </c>
      <c r="B16" s="3" t="s">
        <v>1</v>
      </c>
      <c r="C16" s="4">
        <v>46223.172222222223</v>
      </c>
      <c r="D16" s="3" t="str">
        <f t="shared" si="0"/>
        <v>Segment A</v>
      </c>
    </row>
    <row r="17" spans="1:4" ht="22" x14ac:dyDescent="0.3">
      <c r="A17" s="3" t="s">
        <v>20</v>
      </c>
      <c r="B17" s="3" t="s">
        <v>3</v>
      </c>
      <c r="C17" s="4">
        <v>46223.173611111109</v>
      </c>
      <c r="D17" s="3" t="str">
        <f t="shared" si="0"/>
        <v>Segment A</v>
      </c>
    </row>
    <row r="18" spans="1:4" ht="22" x14ac:dyDescent="0.3">
      <c r="A18" s="3" t="s">
        <v>21</v>
      </c>
      <c r="B18" s="3" t="s">
        <v>3</v>
      </c>
      <c r="C18" s="4">
        <v>46223.186111111114</v>
      </c>
      <c r="D18" s="3" t="str">
        <f t="shared" si="0"/>
        <v>Segment A</v>
      </c>
    </row>
    <row r="19" spans="1:4" ht="22" x14ac:dyDescent="0.3">
      <c r="A19" s="3" t="s">
        <v>22</v>
      </c>
      <c r="B19" s="3" t="s">
        <v>1</v>
      </c>
      <c r="C19" s="4">
        <v>46223.165972222225</v>
      </c>
      <c r="D19" s="3" t="str">
        <f t="shared" si="0"/>
        <v>Segment B</v>
      </c>
    </row>
    <row r="20" spans="1:4" ht="22" x14ac:dyDescent="0.3">
      <c r="A20" s="3" t="s">
        <v>23</v>
      </c>
      <c r="B20" s="3" t="s">
        <v>5</v>
      </c>
      <c r="C20" s="4">
        <v>46223.162499999999</v>
      </c>
      <c r="D20" s="3" t="str">
        <f t="shared" si="0"/>
        <v>Segment A</v>
      </c>
    </row>
    <row r="21" spans="1:4" ht="22" x14ac:dyDescent="0.3">
      <c r="A21" s="3" t="s">
        <v>24</v>
      </c>
      <c r="B21" s="3" t="s">
        <v>1</v>
      </c>
      <c r="C21" s="4">
        <v>46223.183333333334</v>
      </c>
      <c r="D21" s="3" t="str">
        <f t="shared" si="0"/>
        <v>Segment B</v>
      </c>
    </row>
    <row r="22" spans="1:4" ht="22" x14ac:dyDescent="0.3">
      <c r="A22" s="3" t="s">
        <v>25</v>
      </c>
      <c r="B22" s="3" t="s">
        <v>1</v>
      </c>
      <c r="C22" s="4">
        <v>46223.170138888891</v>
      </c>
      <c r="D22" s="3" t="str">
        <f t="shared" si="0"/>
        <v>Segment B</v>
      </c>
    </row>
    <row r="23" spans="1:4" ht="22" x14ac:dyDescent="0.3">
      <c r="A23" s="3" t="s">
        <v>26</v>
      </c>
      <c r="B23" s="3" t="s">
        <v>1</v>
      </c>
      <c r="C23" s="4">
        <v>46223.168055555558</v>
      </c>
      <c r="D23" s="3" t="str">
        <f t="shared" si="0"/>
        <v>Segment B</v>
      </c>
    </row>
    <row r="24" spans="1:4" ht="22" x14ac:dyDescent="0.3">
      <c r="A24" s="3" t="s">
        <v>27</v>
      </c>
      <c r="B24" s="3" t="s">
        <v>3</v>
      </c>
      <c r="C24" s="4">
        <v>46223.171527777777</v>
      </c>
      <c r="D24" s="3" t="str">
        <f t="shared" si="0"/>
        <v>Segment A</v>
      </c>
    </row>
    <row r="25" spans="1:4" ht="22" x14ac:dyDescent="0.3">
      <c r="A25" s="3" t="s">
        <v>28</v>
      </c>
      <c r="B25" s="3" t="s">
        <v>5</v>
      </c>
      <c r="C25" s="4">
        <v>46223.158333333333</v>
      </c>
      <c r="D25" s="3" t="str">
        <f t="shared" si="0"/>
        <v>Segment B</v>
      </c>
    </row>
    <row r="26" spans="1:4" ht="22" x14ac:dyDescent="0.3">
      <c r="A26" s="3" t="s">
        <v>29</v>
      </c>
      <c r="B26" s="3" t="s">
        <v>1</v>
      </c>
      <c r="C26" s="4">
        <v>46223.181944444441</v>
      </c>
      <c r="D26" s="3" t="str">
        <f t="shared" si="0"/>
        <v>Segment A</v>
      </c>
    </row>
    <row r="27" spans="1:4" ht="22" x14ac:dyDescent="0.3">
      <c r="A27" s="3" t="s">
        <v>30</v>
      </c>
      <c r="B27" s="3" t="s">
        <v>1</v>
      </c>
      <c r="C27" s="4">
        <v>46223.15625</v>
      </c>
      <c r="D27" s="3" t="str">
        <f t="shared" si="0"/>
        <v>Segment A</v>
      </c>
    </row>
    <row r="28" spans="1:4" ht="22" x14ac:dyDescent="0.3">
      <c r="A28" s="3" t="s">
        <v>31</v>
      </c>
      <c r="B28" s="3" t="s">
        <v>1</v>
      </c>
      <c r="C28" s="4">
        <v>46223.174305555556</v>
      </c>
      <c r="D28" s="3" t="str">
        <f t="shared" si="0"/>
        <v>Segment B</v>
      </c>
    </row>
    <row r="29" spans="1:4" ht="22" x14ac:dyDescent="0.3">
      <c r="A29" s="3" t="s">
        <v>32</v>
      </c>
      <c r="B29" s="3" t="s">
        <v>5</v>
      </c>
      <c r="C29" s="4">
        <v>46223.155555555553</v>
      </c>
      <c r="D29" s="3" t="str">
        <f t="shared" si="0"/>
        <v>Segment B</v>
      </c>
    </row>
    <row r="30" spans="1:4" ht="22" x14ac:dyDescent="0.3">
      <c r="A30" s="3" t="s">
        <v>33</v>
      </c>
      <c r="B30" s="3" t="s">
        <v>5</v>
      </c>
      <c r="C30" s="4">
        <v>46223.149305555555</v>
      </c>
      <c r="D30" s="3" t="str">
        <f t="shared" si="0"/>
        <v>Segment A</v>
      </c>
    </row>
    <row r="31" spans="1:4" ht="22" x14ac:dyDescent="0.3">
      <c r="A31" s="3" t="s">
        <v>34</v>
      </c>
      <c r="B31" s="3" t="s">
        <v>1</v>
      </c>
      <c r="C31" s="4">
        <v>46223.162499999999</v>
      </c>
      <c r="D31" s="3" t="str">
        <f t="shared" si="0"/>
        <v>Segment A</v>
      </c>
    </row>
    <row r="32" spans="1:4" ht="22" x14ac:dyDescent="0.3">
      <c r="A32" s="3" t="s">
        <v>35</v>
      </c>
      <c r="B32" s="3" t="s">
        <v>12</v>
      </c>
      <c r="C32" s="4">
        <v>46223.193055555559</v>
      </c>
      <c r="D32" s="3" t="str">
        <f t="shared" si="0"/>
        <v>Segment A</v>
      </c>
    </row>
    <row r="33" spans="1:4" ht="22" x14ac:dyDescent="0.3">
      <c r="A33" s="3" t="s">
        <v>36</v>
      </c>
      <c r="B33" s="3" t="s">
        <v>3</v>
      </c>
      <c r="C33" s="4">
        <v>46223.178472222222</v>
      </c>
      <c r="D33" s="3" t="str">
        <f t="shared" si="0"/>
        <v>Segment A</v>
      </c>
    </row>
    <row r="34" spans="1:4" ht="22" x14ac:dyDescent="0.3">
      <c r="A34" s="3" t="s">
        <v>37</v>
      </c>
      <c r="B34" s="3" t="s">
        <v>3</v>
      </c>
      <c r="C34" s="4">
        <v>46223.175694444442</v>
      </c>
      <c r="D34" s="3" t="str">
        <f t="shared" si="0"/>
        <v>Segment B</v>
      </c>
    </row>
    <row r="35" spans="1:4" ht="22" x14ac:dyDescent="0.3">
      <c r="A35" s="3" t="s">
        <v>38</v>
      </c>
      <c r="B35" s="3" t="s">
        <v>3</v>
      </c>
      <c r="C35" s="4">
        <v>46223.17083333333</v>
      </c>
      <c r="D35" s="3" t="str">
        <f t="shared" si="0"/>
        <v>Segment B</v>
      </c>
    </row>
    <row r="36" spans="1:4" ht="22" x14ac:dyDescent="0.3">
      <c r="A36" s="3" t="s">
        <v>39</v>
      </c>
      <c r="B36" s="3" t="s">
        <v>1</v>
      </c>
      <c r="C36" s="4">
        <v>46223.178472222222</v>
      </c>
      <c r="D36" s="3" t="str">
        <f t="shared" si="0"/>
        <v>Segment B</v>
      </c>
    </row>
    <row r="37" spans="1:4" ht="22" x14ac:dyDescent="0.3">
      <c r="A37" s="3" t="s">
        <v>40</v>
      </c>
      <c r="B37" s="3" t="s">
        <v>1</v>
      </c>
      <c r="C37" s="4">
        <v>46223.177777777775</v>
      </c>
      <c r="D37" s="3" t="str">
        <f t="shared" si="0"/>
        <v>Segment B</v>
      </c>
    </row>
    <row r="38" spans="1:4" ht="22" x14ac:dyDescent="0.3">
      <c r="A38" s="3" t="s">
        <v>41</v>
      </c>
      <c r="B38" s="3" t="s">
        <v>5</v>
      </c>
      <c r="C38" s="4">
        <v>46223.159722222219</v>
      </c>
      <c r="D38" s="3" t="str">
        <f t="shared" si="0"/>
        <v>Segment B</v>
      </c>
    </row>
    <row r="39" spans="1:4" ht="22" x14ac:dyDescent="0.3">
      <c r="A39" s="3" t="s">
        <v>37</v>
      </c>
      <c r="B39" s="3" t="s">
        <v>5</v>
      </c>
      <c r="C39" s="4">
        <v>46223.155555555553</v>
      </c>
      <c r="D39" s="3" t="str">
        <f t="shared" si="0"/>
        <v>Segment B</v>
      </c>
    </row>
    <row r="40" spans="1:4" ht="22" x14ac:dyDescent="0.3">
      <c r="A40" s="3" t="s">
        <v>42</v>
      </c>
      <c r="B40" s="3" t="s">
        <v>1</v>
      </c>
      <c r="C40" s="4">
        <v>46223.164583333331</v>
      </c>
      <c r="D40" s="3" t="str">
        <f t="shared" si="0"/>
        <v>Segment A</v>
      </c>
    </row>
    <row r="41" spans="1:4" ht="22" x14ac:dyDescent="0.3">
      <c r="A41" s="3" t="s">
        <v>43</v>
      </c>
      <c r="B41" s="3" t="s">
        <v>3</v>
      </c>
      <c r="C41" s="4">
        <v>46223.175694444442</v>
      </c>
      <c r="D41" s="3" t="str">
        <f t="shared" si="0"/>
        <v>Segment A</v>
      </c>
    </row>
    <row r="42" spans="1:4" ht="22" x14ac:dyDescent="0.3">
      <c r="A42" s="3" t="s">
        <v>44</v>
      </c>
      <c r="B42" s="3" t="s">
        <v>12</v>
      </c>
      <c r="C42" s="4">
        <v>46223.179861111108</v>
      </c>
      <c r="D42" s="3" t="str">
        <f t="shared" si="0"/>
        <v>Segment B</v>
      </c>
    </row>
    <row r="43" spans="1:4" ht="22" x14ac:dyDescent="0.3">
      <c r="A43" s="3" t="s">
        <v>18</v>
      </c>
      <c r="B43" s="3" t="s">
        <v>1</v>
      </c>
      <c r="C43" s="4">
        <v>46223.171527777777</v>
      </c>
      <c r="D43" s="3" t="str">
        <f t="shared" si="0"/>
        <v>Segment B</v>
      </c>
    </row>
    <row r="44" spans="1:4" ht="22" x14ac:dyDescent="0.3">
      <c r="A44" s="3" t="s">
        <v>45</v>
      </c>
      <c r="B44" s="3" t="s">
        <v>3</v>
      </c>
      <c r="C44" s="4">
        <v>46223.19027777778</v>
      </c>
      <c r="D44" s="3" t="str">
        <f t="shared" si="0"/>
        <v>Segment B</v>
      </c>
    </row>
    <row r="45" spans="1:4" ht="22" x14ac:dyDescent="0.3">
      <c r="A45" s="3" t="s">
        <v>46</v>
      </c>
      <c r="B45" s="3" t="s">
        <v>1</v>
      </c>
      <c r="C45" s="4">
        <v>46223.17083333333</v>
      </c>
      <c r="D45" s="3" t="str">
        <f t="shared" si="0"/>
        <v>Segment B</v>
      </c>
    </row>
    <row r="46" spans="1:4" ht="22" x14ac:dyDescent="0.3">
      <c r="A46" s="3" t="s">
        <v>47</v>
      </c>
      <c r="B46" s="3" t="s">
        <v>5</v>
      </c>
      <c r="C46" s="4">
        <v>46223.154861111114</v>
      </c>
      <c r="D46" s="3" t="str">
        <f t="shared" si="0"/>
        <v>Segment B</v>
      </c>
    </row>
    <row r="47" spans="1:4" ht="22" x14ac:dyDescent="0.3">
      <c r="A47" s="3" t="s">
        <v>48</v>
      </c>
      <c r="B47" s="3" t="s">
        <v>5</v>
      </c>
      <c r="C47" s="4">
        <v>46223.147222222222</v>
      </c>
      <c r="D47" s="3" t="str">
        <f t="shared" si="0"/>
        <v>Segment A</v>
      </c>
    </row>
    <row r="48" spans="1:4" ht="22" x14ac:dyDescent="0.3">
      <c r="A48" s="3" t="s">
        <v>49</v>
      </c>
      <c r="B48" s="3" t="s">
        <v>5</v>
      </c>
      <c r="C48" s="4">
        <v>46223.147916666669</v>
      </c>
      <c r="D48" s="3" t="str">
        <f t="shared" si="0"/>
        <v>Segment A</v>
      </c>
    </row>
    <row r="49" spans="1:4" ht="22" x14ac:dyDescent="0.3">
      <c r="A49" s="3" t="s">
        <v>50</v>
      </c>
      <c r="B49" s="3" t="s">
        <v>12</v>
      </c>
      <c r="C49" s="4">
        <v>46223.202777777777</v>
      </c>
      <c r="D49" s="3" t="str">
        <f t="shared" si="0"/>
        <v>Segment A</v>
      </c>
    </row>
    <row r="50" spans="1:4" ht="22" x14ac:dyDescent="0.3">
      <c r="A50" s="3" t="s">
        <v>51</v>
      </c>
      <c r="B50" s="3" t="s">
        <v>3</v>
      </c>
      <c r="C50" s="4">
        <v>46223.177083333336</v>
      </c>
      <c r="D50" s="3" t="str">
        <f t="shared" si="0"/>
        <v>Segment B</v>
      </c>
    </row>
    <row r="51" spans="1:4" ht="22" x14ac:dyDescent="0.3">
      <c r="A51" s="3" t="s">
        <v>52</v>
      </c>
      <c r="B51" s="3" t="s">
        <v>5</v>
      </c>
      <c r="C51" s="4">
        <v>46223.152777777781</v>
      </c>
      <c r="D51" s="3" t="str">
        <f t="shared" si="0"/>
        <v>Segment A</v>
      </c>
    </row>
    <row r="52" spans="1:4" ht="22" x14ac:dyDescent="0.3">
      <c r="A52" s="3" t="s">
        <v>53</v>
      </c>
      <c r="B52" s="3" t="s">
        <v>1</v>
      </c>
      <c r="C52" s="4">
        <v>46223.176388888889</v>
      </c>
      <c r="D52" s="3" t="str">
        <f t="shared" si="0"/>
        <v>Segment A</v>
      </c>
    </row>
    <row r="53" spans="1:4" ht="22" x14ac:dyDescent="0.3">
      <c r="A53" s="3" t="s">
        <v>54</v>
      </c>
      <c r="B53" s="3" t="s">
        <v>1</v>
      </c>
      <c r="C53" s="4">
        <v>46223.180555555555</v>
      </c>
      <c r="D53" s="3" t="str">
        <f t="shared" si="0"/>
        <v>Segment A</v>
      </c>
    </row>
    <row r="54" spans="1:4" ht="22" x14ac:dyDescent="0.3">
      <c r="A54" s="3" t="s">
        <v>55</v>
      </c>
      <c r="B54" s="3" t="s">
        <v>5</v>
      </c>
      <c r="C54" s="4">
        <v>46223.166666666664</v>
      </c>
      <c r="D54" s="3" t="str">
        <f t="shared" si="0"/>
        <v>Segment A</v>
      </c>
    </row>
    <row r="55" spans="1:4" ht="22" x14ac:dyDescent="0.3">
      <c r="A55" s="3" t="s">
        <v>56</v>
      </c>
      <c r="B55" s="3" t="s">
        <v>3</v>
      </c>
      <c r="C55" s="4">
        <v>46223.181250000001</v>
      </c>
      <c r="D55" s="3" t="str">
        <f t="shared" si="0"/>
        <v>Segment B</v>
      </c>
    </row>
    <row r="56" spans="1:4" ht="22" x14ac:dyDescent="0.3">
      <c r="A56" s="3" t="s">
        <v>17</v>
      </c>
      <c r="B56" s="3" t="s">
        <v>5</v>
      </c>
      <c r="C56" s="4">
        <v>46223.163888888892</v>
      </c>
      <c r="D56" s="3" t="str">
        <f t="shared" si="0"/>
        <v>Segment A</v>
      </c>
    </row>
    <row r="57" spans="1:4" ht="22" x14ac:dyDescent="0.3">
      <c r="A57" s="3" t="s">
        <v>57</v>
      </c>
      <c r="B57" s="3" t="s">
        <v>1</v>
      </c>
      <c r="C57" s="4">
        <v>46223.156944444447</v>
      </c>
      <c r="D57" s="3" t="str">
        <f t="shared" si="0"/>
        <v>Segment B</v>
      </c>
    </row>
    <row r="58" spans="1:4" ht="22" x14ac:dyDescent="0.3">
      <c r="A58" s="3" t="s">
        <v>58</v>
      </c>
      <c r="B58" s="3" t="s">
        <v>5</v>
      </c>
      <c r="C58" s="4">
        <v>46223.165972222225</v>
      </c>
      <c r="D58" s="3" t="str">
        <f t="shared" si="0"/>
        <v>Segment A</v>
      </c>
    </row>
    <row r="59" spans="1:4" ht="22" x14ac:dyDescent="0.3">
      <c r="A59" s="3" t="s">
        <v>59</v>
      </c>
      <c r="B59" s="3" t="s">
        <v>1</v>
      </c>
      <c r="C59" s="4">
        <v>46223.179166666669</v>
      </c>
      <c r="D59" s="3" t="str">
        <f t="shared" si="0"/>
        <v>Segment A</v>
      </c>
    </row>
    <row r="60" spans="1:4" ht="22" x14ac:dyDescent="0.3">
      <c r="A60" s="3" t="s">
        <v>25</v>
      </c>
      <c r="B60" s="3" t="s">
        <v>15</v>
      </c>
      <c r="C60" s="4">
        <v>46223.20208333333</v>
      </c>
      <c r="D60" s="3" t="str">
        <f t="shared" si="0"/>
        <v>Segment B</v>
      </c>
    </row>
    <row r="61" spans="1:4" ht="22" x14ac:dyDescent="0.3">
      <c r="A61" s="3" t="s">
        <v>60</v>
      </c>
      <c r="B61" s="3" t="s">
        <v>3</v>
      </c>
      <c r="C61" s="4">
        <v>46223.186111111114</v>
      </c>
      <c r="D61" s="3" t="str">
        <f t="shared" si="0"/>
        <v>Segment B</v>
      </c>
    </row>
    <row r="62" spans="1:4" ht="22" x14ac:dyDescent="0.3">
      <c r="A62" s="3" t="s">
        <v>61</v>
      </c>
      <c r="B62" s="3" t="s">
        <v>1</v>
      </c>
      <c r="C62" s="4">
        <v>46223.165277777778</v>
      </c>
      <c r="D62" s="3" t="str">
        <f t="shared" si="0"/>
        <v>Segment B</v>
      </c>
    </row>
    <row r="63" spans="1:4" ht="22" x14ac:dyDescent="0.3">
      <c r="A63" s="3" t="s">
        <v>62</v>
      </c>
      <c r="B63" s="3" t="s">
        <v>5</v>
      </c>
      <c r="C63" s="4">
        <v>46223.152777777781</v>
      </c>
      <c r="D63" s="3" t="str">
        <f t="shared" si="0"/>
        <v>Segment A</v>
      </c>
    </row>
    <row r="64" spans="1:4" ht="22" x14ac:dyDescent="0.3">
      <c r="A64" s="3" t="s">
        <v>63</v>
      </c>
      <c r="B64" s="3" t="s">
        <v>1</v>
      </c>
      <c r="C64" s="4">
        <v>46223.163194444445</v>
      </c>
      <c r="D64" s="3" t="str">
        <f t="shared" si="0"/>
        <v>Segment B</v>
      </c>
    </row>
    <row r="65" spans="1:4" ht="22" x14ac:dyDescent="0.3">
      <c r="A65" s="3" t="s">
        <v>64</v>
      </c>
      <c r="B65" s="3" t="s">
        <v>15</v>
      </c>
      <c r="C65" s="4">
        <v>46223.209722222222</v>
      </c>
      <c r="D65" s="3" t="str">
        <f t="shared" si="0"/>
        <v>Segment A</v>
      </c>
    </row>
    <row r="66" spans="1:4" ht="22" x14ac:dyDescent="0.3">
      <c r="A66" s="3" t="s">
        <v>65</v>
      </c>
      <c r="B66" s="3" t="s">
        <v>3</v>
      </c>
      <c r="C66" s="4">
        <v>46223.167361111111</v>
      </c>
      <c r="D66" s="3" t="str">
        <f t="shared" ref="D66:D129" si="1">IF(VALUE(RIGHT(A66,1))&lt;=4,"Segment A","Segment B")</f>
        <v>Segment A</v>
      </c>
    </row>
    <row r="67" spans="1:4" ht="22" x14ac:dyDescent="0.3">
      <c r="A67" s="3" t="s">
        <v>40</v>
      </c>
      <c r="B67" s="3" t="s">
        <v>5</v>
      </c>
      <c r="C67" s="4">
        <v>46223.157638888886</v>
      </c>
      <c r="D67" s="3" t="str">
        <f t="shared" si="1"/>
        <v>Segment B</v>
      </c>
    </row>
    <row r="68" spans="1:4" ht="22" x14ac:dyDescent="0.3">
      <c r="A68" s="3" t="s">
        <v>66</v>
      </c>
      <c r="B68" s="3" t="s">
        <v>3</v>
      </c>
      <c r="C68" s="4">
        <v>46223.177777777775</v>
      </c>
      <c r="D68" s="3" t="str">
        <f t="shared" si="1"/>
        <v>Segment A</v>
      </c>
    </row>
    <row r="69" spans="1:4" ht="22" x14ac:dyDescent="0.3">
      <c r="A69" s="3" t="s">
        <v>67</v>
      </c>
      <c r="B69" s="3" t="s">
        <v>5</v>
      </c>
      <c r="C69" s="4">
        <v>46223.154166666667</v>
      </c>
      <c r="D69" s="3" t="str">
        <f t="shared" si="1"/>
        <v>Segment B</v>
      </c>
    </row>
    <row r="70" spans="1:4" ht="22" x14ac:dyDescent="0.3">
      <c r="A70" s="3" t="s">
        <v>68</v>
      </c>
      <c r="B70" s="3" t="s">
        <v>5</v>
      </c>
      <c r="C70" s="4">
        <v>46223.150694444441</v>
      </c>
      <c r="D70" s="3" t="str">
        <f t="shared" si="1"/>
        <v>Segment B</v>
      </c>
    </row>
    <row r="71" spans="1:4" ht="22" x14ac:dyDescent="0.3">
      <c r="A71" s="3" t="s">
        <v>69</v>
      </c>
      <c r="B71" s="3" t="s">
        <v>15</v>
      </c>
      <c r="C71" s="4">
        <v>46223.209027777775</v>
      </c>
      <c r="D71" s="3" t="str">
        <f t="shared" si="1"/>
        <v>Segment A</v>
      </c>
    </row>
    <row r="72" spans="1:4" ht="22" x14ac:dyDescent="0.3">
      <c r="A72" s="3" t="s">
        <v>70</v>
      </c>
      <c r="B72" s="3" t="s">
        <v>1</v>
      </c>
      <c r="C72" s="4">
        <v>46223.157638888886</v>
      </c>
      <c r="D72" s="3" t="str">
        <f t="shared" si="1"/>
        <v>Segment B</v>
      </c>
    </row>
    <row r="73" spans="1:4" ht="22" x14ac:dyDescent="0.3">
      <c r="A73" s="3" t="s">
        <v>71</v>
      </c>
      <c r="B73" s="3" t="s">
        <v>3</v>
      </c>
      <c r="C73" s="4">
        <v>46223.189583333333</v>
      </c>
      <c r="D73" s="3" t="str">
        <f t="shared" si="1"/>
        <v>Segment B</v>
      </c>
    </row>
    <row r="74" spans="1:4" ht="22" x14ac:dyDescent="0.3">
      <c r="A74" s="3" t="s">
        <v>72</v>
      </c>
      <c r="B74" s="3" t="s">
        <v>5</v>
      </c>
      <c r="C74" s="4">
        <v>46223.145833333336</v>
      </c>
      <c r="D74" s="3" t="str">
        <f t="shared" si="1"/>
        <v>Segment A</v>
      </c>
    </row>
    <row r="75" spans="1:4" ht="22" x14ac:dyDescent="0.3">
      <c r="A75" s="3" t="s">
        <v>70</v>
      </c>
      <c r="B75" s="3" t="s">
        <v>3</v>
      </c>
      <c r="C75" s="4">
        <v>46223.189583333333</v>
      </c>
      <c r="D75" s="3" t="str">
        <f t="shared" si="1"/>
        <v>Segment B</v>
      </c>
    </row>
    <row r="76" spans="1:4" ht="22" x14ac:dyDescent="0.3">
      <c r="A76" s="3" t="s">
        <v>73</v>
      </c>
      <c r="B76" s="3" t="s">
        <v>15</v>
      </c>
      <c r="C76" s="4">
        <v>46223.19027777778</v>
      </c>
      <c r="D76" s="3" t="str">
        <f t="shared" si="1"/>
        <v>Segment B</v>
      </c>
    </row>
    <row r="77" spans="1:4" ht="22" x14ac:dyDescent="0.3">
      <c r="A77" s="3" t="s">
        <v>74</v>
      </c>
      <c r="B77" s="3" t="s">
        <v>5</v>
      </c>
      <c r="C77" s="4">
        <v>46223.171527777777</v>
      </c>
      <c r="D77" s="3" t="str">
        <f t="shared" si="1"/>
        <v>Segment A</v>
      </c>
    </row>
    <row r="78" spans="1:4" ht="22" x14ac:dyDescent="0.3">
      <c r="A78" s="3" t="s">
        <v>75</v>
      </c>
      <c r="B78" s="3" t="s">
        <v>1</v>
      </c>
      <c r="C78" s="4">
        <v>46223.17291666667</v>
      </c>
      <c r="D78" s="3" t="str">
        <f t="shared" si="1"/>
        <v>Segment B</v>
      </c>
    </row>
    <row r="79" spans="1:4" ht="22" x14ac:dyDescent="0.3">
      <c r="A79" s="3" t="s">
        <v>76</v>
      </c>
      <c r="B79" s="3" t="s">
        <v>1</v>
      </c>
      <c r="C79" s="4">
        <v>46223.161805555559</v>
      </c>
      <c r="D79" s="3" t="str">
        <f t="shared" si="1"/>
        <v>Segment A</v>
      </c>
    </row>
    <row r="80" spans="1:4" ht="22" x14ac:dyDescent="0.3">
      <c r="A80" s="3" t="s">
        <v>77</v>
      </c>
      <c r="B80" s="3" t="s">
        <v>5</v>
      </c>
      <c r="C80" s="4">
        <v>46223.155555555553</v>
      </c>
      <c r="D80" s="3" t="str">
        <f t="shared" si="1"/>
        <v>Segment B</v>
      </c>
    </row>
    <row r="81" spans="1:4" ht="22" x14ac:dyDescent="0.3">
      <c r="A81" s="3" t="s">
        <v>78</v>
      </c>
      <c r="B81" s="3" t="s">
        <v>3</v>
      </c>
      <c r="C81" s="4">
        <v>46223.167361111111</v>
      </c>
      <c r="D81" s="3" t="str">
        <f t="shared" si="1"/>
        <v>Segment B</v>
      </c>
    </row>
    <row r="82" spans="1:4" ht="22" x14ac:dyDescent="0.3">
      <c r="A82" s="3" t="s">
        <v>79</v>
      </c>
      <c r="B82" s="3" t="s">
        <v>3</v>
      </c>
      <c r="C82" s="4">
        <v>46223.179166666669</v>
      </c>
      <c r="D82" s="3" t="str">
        <f t="shared" si="1"/>
        <v>Segment A</v>
      </c>
    </row>
    <row r="83" spans="1:4" ht="22" x14ac:dyDescent="0.3">
      <c r="A83" s="3" t="s">
        <v>75</v>
      </c>
      <c r="B83" s="3" t="s">
        <v>5</v>
      </c>
      <c r="C83" s="4">
        <v>46223.171527777777</v>
      </c>
      <c r="D83" s="3" t="str">
        <f t="shared" si="1"/>
        <v>Segment B</v>
      </c>
    </row>
    <row r="84" spans="1:4" ht="22" x14ac:dyDescent="0.3">
      <c r="A84" s="3" t="s">
        <v>80</v>
      </c>
      <c r="B84" s="3" t="s">
        <v>1</v>
      </c>
      <c r="C84" s="4">
        <v>46223.182638888888</v>
      </c>
      <c r="D84" s="3" t="str">
        <f t="shared" si="1"/>
        <v>Segment B</v>
      </c>
    </row>
    <row r="85" spans="1:4" ht="22" x14ac:dyDescent="0.3">
      <c r="A85" s="3" t="s">
        <v>81</v>
      </c>
      <c r="B85" s="3" t="s">
        <v>5</v>
      </c>
      <c r="C85" s="4">
        <v>46223.147916666669</v>
      </c>
      <c r="D85" s="3" t="str">
        <f t="shared" si="1"/>
        <v>Segment A</v>
      </c>
    </row>
    <row r="86" spans="1:4" ht="22" x14ac:dyDescent="0.3">
      <c r="A86" s="3" t="s">
        <v>82</v>
      </c>
      <c r="B86" s="3" t="s">
        <v>12</v>
      </c>
      <c r="C86" s="4">
        <v>46223.179166666669</v>
      </c>
      <c r="D86" s="3" t="str">
        <f t="shared" si="1"/>
        <v>Segment A</v>
      </c>
    </row>
    <row r="87" spans="1:4" ht="22" x14ac:dyDescent="0.3">
      <c r="A87" s="3" t="s">
        <v>49</v>
      </c>
      <c r="B87" s="3" t="s">
        <v>3</v>
      </c>
      <c r="C87" s="4">
        <v>46223.174305555556</v>
      </c>
      <c r="D87" s="3" t="str">
        <f t="shared" si="1"/>
        <v>Segment A</v>
      </c>
    </row>
    <row r="88" spans="1:4" ht="22" x14ac:dyDescent="0.3">
      <c r="A88" s="3" t="s">
        <v>83</v>
      </c>
      <c r="B88" s="3" t="s">
        <v>1</v>
      </c>
      <c r="C88" s="4">
        <v>46223.15625</v>
      </c>
      <c r="D88" s="3" t="str">
        <f t="shared" si="1"/>
        <v>Segment A</v>
      </c>
    </row>
    <row r="89" spans="1:4" ht="22" x14ac:dyDescent="0.3">
      <c r="A89" s="3" t="s">
        <v>84</v>
      </c>
      <c r="B89" s="3" t="s">
        <v>5</v>
      </c>
      <c r="C89" s="4">
        <v>46223.167361111111</v>
      </c>
      <c r="D89" s="3" t="str">
        <f t="shared" si="1"/>
        <v>Segment A</v>
      </c>
    </row>
    <row r="90" spans="1:4" ht="22" x14ac:dyDescent="0.3">
      <c r="A90" s="3" t="s">
        <v>85</v>
      </c>
      <c r="B90" s="3" t="s">
        <v>3</v>
      </c>
      <c r="C90" s="4">
        <v>46223.182638888888</v>
      </c>
      <c r="D90" s="3" t="str">
        <f t="shared" si="1"/>
        <v>Segment B</v>
      </c>
    </row>
    <row r="91" spans="1:4" ht="22" x14ac:dyDescent="0.3">
      <c r="A91" s="3" t="s">
        <v>86</v>
      </c>
      <c r="B91" s="3" t="s">
        <v>1</v>
      </c>
      <c r="C91" s="4">
        <v>46223.159722222219</v>
      </c>
      <c r="D91" s="3" t="str">
        <f t="shared" si="1"/>
        <v>Segment B</v>
      </c>
    </row>
    <row r="92" spans="1:4" ht="22" x14ac:dyDescent="0.3">
      <c r="A92" s="3" t="s">
        <v>87</v>
      </c>
      <c r="B92" s="3" t="s">
        <v>1</v>
      </c>
      <c r="C92" s="4">
        <v>46223.177777777775</v>
      </c>
      <c r="D92" s="3" t="str">
        <f t="shared" si="1"/>
        <v>Segment A</v>
      </c>
    </row>
    <row r="93" spans="1:4" ht="22" x14ac:dyDescent="0.3">
      <c r="A93" s="3" t="s">
        <v>13</v>
      </c>
      <c r="B93" s="3" t="s">
        <v>5</v>
      </c>
      <c r="C93" s="4">
        <v>46223.159722222219</v>
      </c>
      <c r="D93" s="3" t="str">
        <f t="shared" si="1"/>
        <v>Segment B</v>
      </c>
    </row>
    <row r="94" spans="1:4" ht="22" x14ac:dyDescent="0.3">
      <c r="A94" s="3" t="s">
        <v>43</v>
      </c>
      <c r="B94" s="3" t="s">
        <v>1</v>
      </c>
      <c r="C94" s="4">
        <v>46223.162499999999</v>
      </c>
      <c r="D94" s="3" t="str">
        <f t="shared" si="1"/>
        <v>Segment A</v>
      </c>
    </row>
    <row r="95" spans="1:4" ht="22" x14ac:dyDescent="0.3">
      <c r="A95" s="3" t="s">
        <v>61</v>
      </c>
      <c r="B95" s="3" t="s">
        <v>5</v>
      </c>
      <c r="C95" s="4">
        <v>46223.15347222222</v>
      </c>
      <c r="D95" s="3" t="str">
        <f t="shared" si="1"/>
        <v>Segment B</v>
      </c>
    </row>
    <row r="96" spans="1:4" ht="22" x14ac:dyDescent="0.3">
      <c r="A96" s="3" t="s">
        <v>8</v>
      </c>
      <c r="B96" s="3" t="s">
        <v>1</v>
      </c>
      <c r="C96" s="4">
        <v>46223.179166666669</v>
      </c>
      <c r="D96" s="3" t="str">
        <f t="shared" si="1"/>
        <v>Segment B</v>
      </c>
    </row>
    <row r="97" spans="1:4" ht="22" x14ac:dyDescent="0.3">
      <c r="A97" s="3" t="s">
        <v>88</v>
      </c>
      <c r="B97" s="3" t="s">
        <v>3</v>
      </c>
      <c r="C97" s="4">
        <v>46223.186111111114</v>
      </c>
      <c r="D97" s="3" t="str">
        <f t="shared" si="1"/>
        <v>Segment A</v>
      </c>
    </row>
    <row r="98" spans="1:4" ht="22" x14ac:dyDescent="0.3">
      <c r="A98" s="3" t="s">
        <v>78</v>
      </c>
      <c r="B98" s="3" t="s">
        <v>1</v>
      </c>
      <c r="C98" s="4">
        <v>46223.177083333336</v>
      </c>
      <c r="D98" s="3" t="str">
        <f t="shared" si="1"/>
        <v>Segment B</v>
      </c>
    </row>
    <row r="99" spans="1:4" ht="22" x14ac:dyDescent="0.3">
      <c r="A99" s="3" t="s">
        <v>89</v>
      </c>
      <c r="B99" s="3" t="s">
        <v>12</v>
      </c>
      <c r="C99" s="4">
        <v>46223.181250000001</v>
      </c>
      <c r="D99" s="3" t="str">
        <f t="shared" si="1"/>
        <v>Segment B</v>
      </c>
    </row>
    <row r="100" spans="1:4" ht="22" x14ac:dyDescent="0.3">
      <c r="A100" s="3" t="s">
        <v>90</v>
      </c>
      <c r="B100" s="3" t="s">
        <v>12</v>
      </c>
      <c r="C100" s="4">
        <v>46223.185416666667</v>
      </c>
      <c r="D100" s="3" t="str">
        <f t="shared" si="1"/>
        <v>Segment A</v>
      </c>
    </row>
    <row r="101" spans="1:4" ht="22" x14ac:dyDescent="0.3">
      <c r="A101" s="3" t="s">
        <v>30</v>
      </c>
      <c r="B101" s="3" t="s">
        <v>3</v>
      </c>
      <c r="C101" s="4">
        <v>46223.170138888891</v>
      </c>
      <c r="D101" s="3" t="str">
        <f t="shared" si="1"/>
        <v>Segment A</v>
      </c>
    </row>
    <row r="102" spans="1:4" ht="22" x14ac:dyDescent="0.3">
      <c r="A102" s="3" t="s">
        <v>91</v>
      </c>
      <c r="B102" s="3" t="s">
        <v>5</v>
      </c>
      <c r="C102" s="4">
        <v>46223.160416666666</v>
      </c>
      <c r="D102" s="3" t="str">
        <f t="shared" si="1"/>
        <v>Segment A</v>
      </c>
    </row>
    <row r="103" spans="1:4" ht="22" x14ac:dyDescent="0.3">
      <c r="A103" s="3" t="s">
        <v>83</v>
      </c>
      <c r="B103" s="3" t="s">
        <v>12</v>
      </c>
      <c r="C103" s="4">
        <v>46223.197222222225</v>
      </c>
      <c r="D103" s="3" t="str">
        <f t="shared" si="1"/>
        <v>Segment A</v>
      </c>
    </row>
    <row r="104" spans="1:4" ht="22" x14ac:dyDescent="0.3">
      <c r="A104" s="3" t="s">
        <v>16</v>
      </c>
      <c r="B104" s="3" t="s">
        <v>3</v>
      </c>
      <c r="C104" s="4">
        <v>46223.176388888889</v>
      </c>
      <c r="D104" s="3" t="str">
        <f t="shared" si="1"/>
        <v>Segment B</v>
      </c>
    </row>
    <row r="105" spans="1:4" ht="22" x14ac:dyDescent="0.3">
      <c r="A105" s="3" t="s">
        <v>22</v>
      </c>
      <c r="B105" s="3" t="s">
        <v>5</v>
      </c>
      <c r="C105" s="4">
        <v>46223.17291666667</v>
      </c>
      <c r="D105" s="3" t="str">
        <f t="shared" si="1"/>
        <v>Segment B</v>
      </c>
    </row>
    <row r="106" spans="1:4" ht="22" x14ac:dyDescent="0.3">
      <c r="A106" s="3" t="s">
        <v>68</v>
      </c>
      <c r="B106" s="3" t="s">
        <v>1</v>
      </c>
      <c r="C106" s="4">
        <v>46223.180555555555</v>
      </c>
      <c r="D106" s="3" t="str">
        <f t="shared" si="1"/>
        <v>Segment B</v>
      </c>
    </row>
    <row r="107" spans="1:4" ht="22" x14ac:dyDescent="0.3">
      <c r="A107" s="3" t="s">
        <v>58</v>
      </c>
      <c r="B107" s="3" t="s">
        <v>1</v>
      </c>
      <c r="C107" s="4">
        <v>46223.163194444445</v>
      </c>
      <c r="D107" s="3" t="str">
        <f t="shared" si="1"/>
        <v>Segment A</v>
      </c>
    </row>
    <row r="108" spans="1:4" ht="22" x14ac:dyDescent="0.3">
      <c r="A108" s="3" t="s">
        <v>92</v>
      </c>
      <c r="B108" s="3" t="s">
        <v>3</v>
      </c>
      <c r="C108" s="4">
        <v>46223.188888888886</v>
      </c>
      <c r="D108" s="3" t="str">
        <f t="shared" si="1"/>
        <v>Segment B</v>
      </c>
    </row>
    <row r="109" spans="1:4" ht="22" x14ac:dyDescent="0.3">
      <c r="A109" s="3" t="s">
        <v>93</v>
      </c>
      <c r="B109" s="3" t="s">
        <v>5</v>
      </c>
      <c r="C109" s="4">
        <v>46223.151388888888</v>
      </c>
      <c r="D109" s="3" t="str">
        <f t="shared" si="1"/>
        <v>Segment A</v>
      </c>
    </row>
    <row r="110" spans="1:4" ht="22" x14ac:dyDescent="0.3">
      <c r="A110" s="3" t="s">
        <v>94</v>
      </c>
      <c r="B110" s="3" t="s">
        <v>12</v>
      </c>
      <c r="C110" s="4">
        <v>46223.181944444441</v>
      </c>
      <c r="D110" s="3" t="str">
        <f t="shared" si="1"/>
        <v>Segment B</v>
      </c>
    </row>
    <row r="111" spans="1:4" ht="22" x14ac:dyDescent="0.3">
      <c r="A111" s="3" t="s">
        <v>95</v>
      </c>
      <c r="B111" s="3" t="s">
        <v>1</v>
      </c>
      <c r="C111" s="4">
        <v>46223.174305555556</v>
      </c>
      <c r="D111" s="3" t="str">
        <f t="shared" si="1"/>
        <v>Segment A</v>
      </c>
    </row>
    <row r="112" spans="1:4" ht="22" x14ac:dyDescent="0.3">
      <c r="A112" s="3" t="s">
        <v>67</v>
      </c>
      <c r="B112" s="3" t="s">
        <v>3</v>
      </c>
      <c r="C112" s="4">
        <v>46223.178472222222</v>
      </c>
      <c r="D112" s="3" t="str">
        <f t="shared" si="1"/>
        <v>Segment B</v>
      </c>
    </row>
    <row r="113" spans="1:4" ht="22" x14ac:dyDescent="0.3">
      <c r="A113" s="3" t="s">
        <v>0</v>
      </c>
      <c r="B113" s="3" t="s">
        <v>5</v>
      </c>
      <c r="C113" s="4">
        <v>46223.154166666667</v>
      </c>
      <c r="D113" s="3" t="str">
        <f t="shared" si="1"/>
        <v>Segment A</v>
      </c>
    </row>
    <row r="114" spans="1:4" ht="22" x14ac:dyDescent="0.3">
      <c r="A114" s="3" t="s">
        <v>96</v>
      </c>
      <c r="B114" s="3" t="s">
        <v>3</v>
      </c>
      <c r="C114" s="4">
        <v>46223.172222222223</v>
      </c>
      <c r="D114" s="3" t="str">
        <f t="shared" si="1"/>
        <v>Segment A</v>
      </c>
    </row>
    <row r="115" spans="1:4" ht="22" x14ac:dyDescent="0.3">
      <c r="A115" s="3" t="s">
        <v>82</v>
      </c>
      <c r="B115" s="3" t="s">
        <v>5</v>
      </c>
      <c r="C115" s="4">
        <v>46223.168749999997</v>
      </c>
      <c r="D115" s="3" t="str">
        <f t="shared" si="1"/>
        <v>Segment A</v>
      </c>
    </row>
    <row r="116" spans="1:4" ht="22" x14ac:dyDescent="0.3">
      <c r="A116" s="3" t="s">
        <v>97</v>
      </c>
      <c r="B116" s="3" t="s">
        <v>1</v>
      </c>
      <c r="C116" s="4">
        <v>46223.158333333333</v>
      </c>
      <c r="D116" s="3" t="str">
        <f t="shared" si="1"/>
        <v>Segment A</v>
      </c>
    </row>
    <row r="117" spans="1:4" ht="22" x14ac:dyDescent="0.3">
      <c r="A117" s="3" t="s">
        <v>31</v>
      </c>
      <c r="B117" s="3" t="s">
        <v>3</v>
      </c>
      <c r="C117" s="4">
        <v>46223.167361111111</v>
      </c>
      <c r="D117" s="3" t="str">
        <f t="shared" si="1"/>
        <v>Segment B</v>
      </c>
    </row>
    <row r="118" spans="1:4" ht="22" x14ac:dyDescent="0.3">
      <c r="A118" s="3" t="s">
        <v>98</v>
      </c>
      <c r="B118" s="3" t="s">
        <v>3</v>
      </c>
      <c r="C118" s="4">
        <v>46223.181944444441</v>
      </c>
      <c r="D118" s="3" t="str">
        <f t="shared" si="1"/>
        <v>Segment B</v>
      </c>
    </row>
    <row r="119" spans="1:4" ht="22" x14ac:dyDescent="0.3">
      <c r="A119" s="3" t="s">
        <v>76</v>
      </c>
      <c r="B119" s="3" t="s">
        <v>5</v>
      </c>
      <c r="C119" s="4">
        <v>46223.159722222219</v>
      </c>
      <c r="D119" s="3" t="str">
        <f t="shared" si="1"/>
        <v>Segment A</v>
      </c>
    </row>
    <row r="120" spans="1:4" ht="22" x14ac:dyDescent="0.3">
      <c r="A120" s="3" t="s">
        <v>84</v>
      </c>
      <c r="B120" s="3" t="s">
        <v>15</v>
      </c>
      <c r="C120" s="4">
        <v>46223.209722222222</v>
      </c>
      <c r="D120" s="3" t="str">
        <f t="shared" si="1"/>
        <v>Segment A</v>
      </c>
    </row>
    <row r="121" spans="1:4" ht="22" x14ac:dyDescent="0.3">
      <c r="A121" s="3" t="s">
        <v>99</v>
      </c>
      <c r="B121" s="3" t="s">
        <v>1</v>
      </c>
      <c r="C121" s="4">
        <v>46223.169444444444</v>
      </c>
      <c r="D121" s="3" t="str">
        <f t="shared" si="1"/>
        <v>Segment A</v>
      </c>
    </row>
    <row r="122" spans="1:4" ht="22" x14ac:dyDescent="0.3">
      <c r="A122" s="3" t="s">
        <v>100</v>
      </c>
      <c r="B122" s="3" t="s">
        <v>1</v>
      </c>
      <c r="C122" s="4">
        <v>46223.170138888891</v>
      </c>
      <c r="D122" s="3" t="str">
        <f t="shared" si="1"/>
        <v>Segment A</v>
      </c>
    </row>
    <row r="123" spans="1:4" ht="22" x14ac:dyDescent="0.3">
      <c r="A123" s="3" t="s">
        <v>54</v>
      </c>
      <c r="B123" s="3" t="s">
        <v>12</v>
      </c>
      <c r="C123" s="4">
        <v>46223.18472222222</v>
      </c>
      <c r="D123" s="3" t="str">
        <f t="shared" si="1"/>
        <v>Segment A</v>
      </c>
    </row>
    <row r="124" spans="1:4" ht="22" x14ac:dyDescent="0.3">
      <c r="A124" s="3" t="s">
        <v>101</v>
      </c>
      <c r="B124" s="3" t="s">
        <v>15</v>
      </c>
      <c r="C124" s="4">
        <v>46223.196527777778</v>
      </c>
      <c r="D124" s="3" t="str">
        <f t="shared" si="1"/>
        <v>Segment A</v>
      </c>
    </row>
    <row r="125" spans="1:4" ht="22" x14ac:dyDescent="0.3">
      <c r="A125" s="3" t="s">
        <v>102</v>
      </c>
      <c r="B125" s="3" t="s">
        <v>1</v>
      </c>
      <c r="C125" s="4">
        <v>46223.158333333333</v>
      </c>
      <c r="D125" s="3" t="str">
        <f t="shared" si="1"/>
        <v>Segment B</v>
      </c>
    </row>
    <row r="126" spans="1:4" ht="22" x14ac:dyDescent="0.3">
      <c r="A126" s="3" t="s">
        <v>103</v>
      </c>
      <c r="B126" s="3" t="s">
        <v>5</v>
      </c>
      <c r="C126" s="4">
        <v>46223.15347222222</v>
      </c>
      <c r="D126" s="3" t="str">
        <f t="shared" si="1"/>
        <v>Segment A</v>
      </c>
    </row>
    <row r="127" spans="1:4" ht="22" x14ac:dyDescent="0.3">
      <c r="A127" s="3" t="s">
        <v>104</v>
      </c>
      <c r="B127" s="3" t="s">
        <v>1</v>
      </c>
      <c r="C127" s="4">
        <v>46223.180555555555</v>
      </c>
      <c r="D127" s="3" t="str">
        <f t="shared" si="1"/>
        <v>Segment B</v>
      </c>
    </row>
    <row r="128" spans="1:4" ht="22" x14ac:dyDescent="0.3">
      <c r="A128" s="3" t="s">
        <v>93</v>
      </c>
      <c r="B128" s="3" t="s">
        <v>1</v>
      </c>
      <c r="C128" s="4">
        <v>46223.162499999999</v>
      </c>
      <c r="D128" s="3" t="str">
        <f t="shared" si="1"/>
        <v>Segment A</v>
      </c>
    </row>
    <row r="129" spans="1:4" ht="22" x14ac:dyDescent="0.3">
      <c r="A129" s="3" t="s">
        <v>105</v>
      </c>
      <c r="B129" s="3" t="s">
        <v>5</v>
      </c>
      <c r="C129" s="4">
        <v>46223.147916666669</v>
      </c>
      <c r="D129" s="3" t="str">
        <f t="shared" si="1"/>
        <v>Segment A</v>
      </c>
    </row>
    <row r="130" spans="1:4" ht="22" x14ac:dyDescent="0.3">
      <c r="A130" s="3" t="s">
        <v>97</v>
      </c>
      <c r="B130" s="3" t="s">
        <v>3</v>
      </c>
      <c r="C130" s="4">
        <v>46223.188194444447</v>
      </c>
      <c r="D130" s="3" t="str">
        <f t="shared" ref="D130:D193" si="2">IF(VALUE(RIGHT(A130,1))&lt;=4,"Segment A","Segment B")</f>
        <v>Segment A</v>
      </c>
    </row>
    <row r="131" spans="1:4" ht="22" x14ac:dyDescent="0.3">
      <c r="A131" s="3" t="s">
        <v>55</v>
      </c>
      <c r="B131" s="3" t="s">
        <v>1</v>
      </c>
      <c r="C131" s="4">
        <v>46223.180555555555</v>
      </c>
      <c r="D131" s="3" t="str">
        <f t="shared" si="2"/>
        <v>Segment A</v>
      </c>
    </row>
    <row r="132" spans="1:4" ht="22" x14ac:dyDescent="0.3">
      <c r="A132" s="3" t="s">
        <v>106</v>
      </c>
      <c r="B132" s="3" t="s">
        <v>5</v>
      </c>
      <c r="C132" s="4">
        <v>46223.154166666667</v>
      </c>
      <c r="D132" s="3" t="str">
        <f t="shared" si="2"/>
        <v>Segment A</v>
      </c>
    </row>
    <row r="133" spans="1:4" ht="22" x14ac:dyDescent="0.3">
      <c r="A133" s="3" t="s">
        <v>107</v>
      </c>
      <c r="B133" s="3" t="s">
        <v>3</v>
      </c>
      <c r="C133" s="4">
        <v>46223.186805555553</v>
      </c>
      <c r="D133" s="3" t="str">
        <f t="shared" si="2"/>
        <v>Segment B</v>
      </c>
    </row>
    <row r="134" spans="1:4" ht="22" x14ac:dyDescent="0.3">
      <c r="A134" s="3" t="s">
        <v>108</v>
      </c>
      <c r="B134" s="3" t="s">
        <v>12</v>
      </c>
      <c r="C134" s="4">
        <v>46223.200694444444</v>
      </c>
      <c r="D134" s="3" t="str">
        <f t="shared" si="2"/>
        <v>Segment B</v>
      </c>
    </row>
    <row r="135" spans="1:4" ht="22" x14ac:dyDescent="0.3">
      <c r="A135" s="3" t="s">
        <v>47</v>
      </c>
      <c r="B135" s="3" t="s">
        <v>1</v>
      </c>
      <c r="C135" s="4">
        <v>46223.17083333333</v>
      </c>
      <c r="D135" s="3" t="str">
        <f t="shared" si="2"/>
        <v>Segment B</v>
      </c>
    </row>
    <row r="136" spans="1:4" ht="22" x14ac:dyDescent="0.3">
      <c r="A136" s="3" t="s">
        <v>109</v>
      </c>
      <c r="B136" s="3" t="s">
        <v>3</v>
      </c>
      <c r="C136" s="4">
        <v>46223.181944444441</v>
      </c>
      <c r="D136" s="3" t="str">
        <f t="shared" si="2"/>
        <v>Segment B</v>
      </c>
    </row>
    <row r="137" spans="1:4" ht="22" x14ac:dyDescent="0.3">
      <c r="A137" s="3" t="s">
        <v>110</v>
      </c>
      <c r="B137" s="3" t="s">
        <v>5</v>
      </c>
      <c r="C137" s="4">
        <v>46223.149305555555</v>
      </c>
      <c r="D137" s="3" t="str">
        <f t="shared" si="2"/>
        <v>Segment A</v>
      </c>
    </row>
    <row r="138" spans="1:4" ht="22" x14ac:dyDescent="0.3">
      <c r="A138" s="3" t="s">
        <v>111</v>
      </c>
      <c r="B138" s="3" t="s">
        <v>5</v>
      </c>
      <c r="C138" s="4">
        <v>46223.152777777781</v>
      </c>
      <c r="D138" s="3" t="str">
        <f t="shared" si="2"/>
        <v>Segment B</v>
      </c>
    </row>
    <row r="139" spans="1:4" ht="22" x14ac:dyDescent="0.3">
      <c r="A139" s="3" t="s">
        <v>112</v>
      </c>
      <c r="B139" s="3" t="s">
        <v>5</v>
      </c>
      <c r="C139" s="4">
        <v>46223.164583333331</v>
      </c>
      <c r="D139" s="3" t="str">
        <f t="shared" si="2"/>
        <v>Segment B</v>
      </c>
    </row>
    <row r="140" spans="1:4" ht="22" x14ac:dyDescent="0.3">
      <c r="A140" s="3" t="s">
        <v>62</v>
      </c>
      <c r="B140" s="3" t="s">
        <v>1</v>
      </c>
      <c r="C140" s="4">
        <v>46223.182638888888</v>
      </c>
      <c r="D140" s="3" t="str">
        <f t="shared" si="2"/>
        <v>Segment A</v>
      </c>
    </row>
    <row r="141" spans="1:4" ht="22" x14ac:dyDescent="0.3">
      <c r="A141" s="3" t="s">
        <v>113</v>
      </c>
      <c r="B141" s="3" t="s">
        <v>12</v>
      </c>
      <c r="C141" s="4">
        <v>46223.188888888886</v>
      </c>
      <c r="D141" s="3" t="str">
        <f t="shared" si="2"/>
        <v>Segment B</v>
      </c>
    </row>
    <row r="142" spans="1:4" ht="22" x14ac:dyDescent="0.3">
      <c r="A142" s="3" t="s">
        <v>114</v>
      </c>
      <c r="B142" s="3" t="s">
        <v>3</v>
      </c>
      <c r="C142" s="4">
        <v>46223.169444444444</v>
      </c>
      <c r="D142" s="3" t="str">
        <f t="shared" si="2"/>
        <v>Segment B</v>
      </c>
    </row>
    <row r="143" spans="1:4" ht="22" x14ac:dyDescent="0.3">
      <c r="A143" s="3" t="s">
        <v>115</v>
      </c>
      <c r="B143" s="3" t="s">
        <v>3</v>
      </c>
      <c r="C143" s="4">
        <v>46223.177083333336</v>
      </c>
      <c r="D143" s="3" t="str">
        <f t="shared" si="2"/>
        <v>Segment B</v>
      </c>
    </row>
    <row r="144" spans="1:4" ht="22" x14ac:dyDescent="0.3">
      <c r="A144" s="3" t="s">
        <v>116</v>
      </c>
      <c r="B144" s="3" t="s">
        <v>5</v>
      </c>
      <c r="C144" s="4">
        <v>46223.171527777777</v>
      </c>
      <c r="D144" s="3" t="str">
        <f t="shared" si="2"/>
        <v>Segment A</v>
      </c>
    </row>
    <row r="145" spans="1:4" ht="22" x14ac:dyDescent="0.3">
      <c r="A145" s="3" t="s">
        <v>117</v>
      </c>
      <c r="B145" s="3" t="s">
        <v>5</v>
      </c>
      <c r="C145" s="4">
        <v>46223.164583333331</v>
      </c>
      <c r="D145" s="3" t="str">
        <f t="shared" si="2"/>
        <v>Segment A</v>
      </c>
    </row>
    <row r="146" spans="1:4" ht="22" x14ac:dyDescent="0.3">
      <c r="A146" s="3" t="s">
        <v>118</v>
      </c>
      <c r="B146" s="3" t="s">
        <v>1</v>
      </c>
      <c r="C146" s="4">
        <v>46223.179861111108</v>
      </c>
      <c r="D146" s="3" t="str">
        <f t="shared" si="2"/>
        <v>Segment A</v>
      </c>
    </row>
    <row r="147" spans="1:4" ht="22" x14ac:dyDescent="0.3">
      <c r="A147" s="3" t="s">
        <v>119</v>
      </c>
      <c r="B147" s="3" t="s">
        <v>1</v>
      </c>
      <c r="C147" s="4">
        <v>46223.157638888886</v>
      </c>
      <c r="D147" s="3" t="str">
        <f t="shared" si="2"/>
        <v>Segment B</v>
      </c>
    </row>
    <row r="148" spans="1:4" ht="22" x14ac:dyDescent="0.3">
      <c r="A148" s="3" t="s">
        <v>120</v>
      </c>
      <c r="B148" s="3" t="s">
        <v>1</v>
      </c>
      <c r="C148" s="4">
        <v>46223.15902777778</v>
      </c>
      <c r="D148" s="3" t="str">
        <f t="shared" si="2"/>
        <v>Segment A</v>
      </c>
    </row>
    <row r="149" spans="1:4" ht="22" x14ac:dyDescent="0.3">
      <c r="A149" s="3" t="s">
        <v>100</v>
      </c>
      <c r="B149" s="3" t="s">
        <v>5</v>
      </c>
      <c r="C149" s="4">
        <v>46223.145833333336</v>
      </c>
      <c r="D149" s="3" t="str">
        <f t="shared" si="2"/>
        <v>Segment A</v>
      </c>
    </row>
    <row r="150" spans="1:4" ht="22" x14ac:dyDescent="0.3">
      <c r="A150" s="3" t="s">
        <v>121</v>
      </c>
      <c r="B150" s="3" t="s">
        <v>12</v>
      </c>
      <c r="C150" s="4">
        <v>46223.183333333334</v>
      </c>
      <c r="D150" s="3" t="str">
        <f t="shared" si="2"/>
        <v>Segment B</v>
      </c>
    </row>
    <row r="151" spans="1:4" ht="22" x14ac:dyDescent="0.3">
      <c r="A151" s="3" t="s">
        <v>122</v>
      </c>
      <c r="B151" s="3" t="s">
        <v>3</v>
      </c>
      <c r="C151" s="4">
        <v>46223.19027777778</v>
      </c>
      <c r="D151" s="3" t="str">
        <f t="shared" si="2"/>
        <v>Segment B</v>
      </c>
    </row>
    <row r="152" spans="1:4" ht="22" x14ac:dyDescent="0.3">
      <c r="A152" s="3" t="s">
        <v>58</v>
      </c>
      <c r="B152" s="3" t="s">
        <v>12</v>
      </c>
      <c r="C152" s="4">
        <v>46223.188888888886</v>
      </c>
      <c r="D152" s="3" t="str">
        <f t="shared" si="2"/>
        <v>Segment A</v>
      </c>
    </row>
    <row r="153" spans="1:4" ht="22" x14ac:dyDescent="0.3">
      <c r="A153" s="3" t="s">
        <v>62</v>
      </c>
      <c r="B153" s="3" t="s">
        <v>3</v>
      </c>
      <c r="C153" s="4">
        <v>46223.179166666669</v>
      </c>
      <c r="D153" s="3" t="str">
        <f t="shared" si="2"/>
        <v>Segment A</v>
      </c>
    </row>
    <row r="154" spans="1:4" ht="22" x14ac:dyDescent="0.3">
      <c r="A154" s="3" t="s">
        <v>123</v>
      </c>
      <c r="B154" s="3" t="s">
        <v>1</v>
      </c>
      <c r="C154" s="4">
        <v>46223.156944444447</v>
      </c>
      <c r="D154" s="3" t="str">
        <f t="shared" si="2"/>
        <v>Segment A</v>
      </c>
    </row>
    <row r="155" spans="1:4" ht="22" x14ac:dyDescent="0.3">
      <c r="A155" s="3" t="s">
        <v>124</v>
      </c>
      <c r="B155" s="3" t="s">
        <v>15</v>
      </c>
      <c r="C155" s="4">
        <v>46223.211111111108</v>
      </c>
      <c r="D155" s="3" t="str">
        <f t="shared" si="2"/>
        <v>Segment B</v>
      </c>
    </row>
    <row r="156" spans="1:4" ht="22" x14ac:dyDescent="0.3">
      <c r="A156" s="3" t="s">
        <v>125</v>
      </c>
      <c r="B156" s="3" t="s">
        <v>5</v>
      </c>
      <c r="C156" s="4">
        <v>46223.17083333333</v>
      </c>
      <c r="D156" s="3" t="str">
        <f t="shared" si="2"/>
        <v>Segment B</v>
      </c>
    </row>
    <row r="157" spans="1:4" ht="22" x14ac:dyDescent="0.3">
      <c r="A157" s="3" t="s">
        <v>14</v>
      </c>
      <c r="B157" s="3" t="s">
        <v>5</v>
      </c>
      <c r="C157" s="4">
        <v>46223.164583333331</v>
      </c>
      <c r="D157" s="3" t="str">
        <f t="shared" si="2"/>
        <v>Segment B</v>
      </c>
    </row>
    <row r="158" spans="1:4" ht="22" x14ac:dyDescent="0.3">
      <c r="A158" s="3" t="s">
        <v>126</v>
      </c>
      <c r="B158" s="3" t="s">
        <v>12</v>
      </c>
      <c r="C158" s="4">
        <v>46223.197916666664</v>
      </c>
      <c r="D158" s="3" t="str">
        <f t="shared" si="2"/>
        <v>Segment A</v>
      </c>
    </row>
    <row r="159" spans="1:4" ht="22" x14ac:dyDescent="0.3">
      <c r="A159" s="3" t="s">
        <v>91</v>
      </c>
      <c r="B159" s="3" t="s">
        <v>1</v>
      </c>
      <c r="C159" s="4">
        <v>46223.164583333331</v>
      </c>
      <c r="D159" s="3" t="str">
        <f t="shared" si="2"/>
        <v>Segment A</v>
      </c>
    </row>
    <row r="160" spans="1:4" ht="22" x14ac:dyDescent="0.3">
      <c r="A160" s="3" t="s">
        <v>127</v>
      </c>
      <c r="B160" s="3" t="s">
        <v>1</v>
      </c>
      <c r="C160" s="4">
        <v>46223.178472222222</v>
      </c>
      <c r="D160" s="3" t="str">
        <f t="shared" si="2"/>
        <v>Segment A</v>
      </c>
    </row>
    <row r="161" spans="1:4" ht="22" x14ac:dyDescent="0.3">
      <c r="A161" s="3" t="s">
        <v>114</v>
      </c>
      <c r="B161" s="3" t="s">
        <v>1</v>
      </c>
      <c r="C161" s="4">
        <v>46223.159722222219</v>
      </c>
      <c r="D161" s="3" t="str">
        <f t="shared" si="2"/>
        <v>Segment B</v>
      </c>
    </row>
    <row r="162" spans="1:4" ht="22" x14ac:dyDescent="0.3">
      <c r="A162" s="3" t="s">
        <v>4</v>
      </c>
      <c r="B162" s="3" t="s">
        <v>1</v>
      </c>
      <c r="C162" s="4">
        <v>46223.17291666667</v>
      </c>
      <c r="D162" s="3" t="str">
        <f t="shared" si="2"/>
        <v>Segment A</v>
      </c>
    </row>
    <row r="163" spans="1:4" ht="22" x14ac:dyDescent="0.3">
      <c r="A163" s="3" t="s">
        <v>87</v>
      </c>
      <c r="B163" s="3" t="s">
        <v>12</v>
      </c>
      <c r="C163" s="4">
        <v>46223.177083333336</v>
      </c>
      <c r="D163" s="3" t="str">
        <f t="shared" si="2"/>
        <v>Segment A</v>
      </c>
    </row>
    <row r="164" spans="1:4" ht="22" x14ac:dyDescent="0.3">
      <c r="A164" s="3" t="s">
        <v>32</v>
      </c>
      <c r="B164" s="3" t="s">
        <v>12</v>
      </c>
      <c r="C164" s="4">
        <v>46223.194444444445</v>
      </c>
      <c r="D164" s="3" t="str">
        <f t="shared" si="2"/>
        <v>Segment B</v>
      </c>
    </row>
    <row r="165" spans="1:4" ht="22" x14ac:dyDescent="0.3">
      <c r="A165" s="3" t="s">
        <v>128</v>
      </c>
      <c r="B165" s="3" t="s">
        <v>5</v>
      </c>
      <c r="C165" s="4">
        <v>46223.168055555558</v>
      </c>
      <c r="D165" s="3" t="str">
        <f t="shared" si="2"/>
        <v>Segment A</v>
      </c>
    </row>
    <row r="166" spans="1:4" ht="22" x14ac:dyDescent="0.3">
      <c r="A166" s="3" t="s">
        <v>91</v>
      </c>
      <c r="B166" s="3" t="s">
        <v>15</v>
      </c>
      <c r="C166" s="4">
        <v>46223.199999999997</v>
      </c>
      <c r="D166" s="3" t="str">
        <f t="shared" si="2"/>
        <v>Segment A</v>
      </c>
    </row>
    <row r="167" spans="1:4" ht="22" x14ac:dyDescent="0.3">
      <c r="A167" s="3" t="s">
        <v>129</v>
      </c>
      <c r="B167" s="3" t="s">
        <v>1</v>
      </c>
      <c r="C167" s="4">
        <v>46223.176388888889</v>
      </c>
      <c r="D167" s="3" t="str">
        <f t="shared" si="2"/>
        <v>Segment B</v>
      </c>
    </row>
    <row r="168" spans="1:4" ht="22" x14ac:dyDescent="0.3">
      <c r="A168" s="3" t="s">
        <v>8</v>
      </c>
      <c r="B168" s="3" t="s">
        <v>12</v>
      </c>
      <c r="C168" s="4">
        <v>46223.181944444441</v>
      </c>
      <c r="D168" s="3" t="str">
        <f t="shared" si="2"/>
        <v>Segment B</v>
      </c>
    </row>
    <row r="169" spans="1:4" ht="22" x14ac:dyDescent="0.3">
      <c r="A169" s="3" t="s">
        <v>104</v>
      </c>
      <c r="B169" s="3" t="s">
        <v>12</v>
      </c>
      <c r="C169" s="4">
        <v>46223.18472222222</v>
      </c>
      <c r="D169" s="3" t="str">
        <f t="shared" si="2"/>
        <v>Segment B</v>
      </c>
    </row>
    <row r="170" spans="1:4" ht="22" x14ac:dyDescent="0.3">
      <c r="A170" s="3" t="s">
        <v>130</v>
      </c>
      <c r="B170" s="3" t="s">
        <v>1</v>
      </c>
      <c r="C170" s="4">
        <v>46223.181250000001</v>
      </c>
      <c r="D170" s="3" t="str">
        <f t="shared" si="2"/>
        <v>Segment A</v>
      </c>
    </row>
    <row r="171" spans="1:4" ht="22" x14ac:dyDescent="0.3">
      <c r="A171" s="3" t="s">
        <v>131</v>
      </c>
      <c r="B171" s="3" t="s">
        <v>5</v>
      </c>
      <c r="C171" s="4">
        <v>46223.147222222222</v>
      </c>
      <c r="D171" s="3" t="str">
        <f t="shared" si="2"/>
        <v>Segment A</v>
      </c>
    </row>
    <row r="172" spans="1:4" ht="22" x14ac:dyDescent="0.3">
      <c r="A172" s="3" t="s">
        <v>105</v>
      </c>
      <c r="B172" s="3" t="s">
        <v>12</v>
      </c>
      <c r="C172" s="4">
        <v>46223.179166666669</v>
      </c>
      <c r="D172" s="3" t="str">
        <f t="shared" si="2"/>
        <v>Segment A</v>
      </c>
    </row>
    <row r="173" spans="1:4" ht="22" x14ac:dyDescent="0.3">
      <c r="A173" s="3" t="s">
        <v>132</v>
      </c>
      <c r="B173" s="3" t="s">
        <v>1</v>
      </c>
      <c r="C173" s="4">
        <v>46223.15625</v>
      </c>
      <c r="D173" s="3" t="str">
        <f t="shared" si="2"/>
        <v>Segment A</v>
      </c>
    </row>
    <row r="174" spans="1:4" ht="22" x14ac:dyDescent="0.3">
      <c r="A174" s="3" t="s">
        <v>23</v>
      </c>
      <c r="B174" s="3" t="s">
        <v>1</v>
      </c>
      <c r="C174" s="4">
        <v>46223.168749999997</v>
      </c>
      <c r="D174" s="3" t="str">
        <f t="shared" si="2"/>
        <v>Segment A</v>
      </c>
    </row>
    <row r="175" spans="1:4" ht="22" x14ac:dyDescent="0.3">
      <c r="A175" s="3" t="s">
        <v>51</v>
      </c>
      <c r="B175" s="3" t="s">
        <v>5</v>
      </c>
      <c r="C175" s="4">
        <v>46223.156944444447</v>
      </c>
      <c r="D175" s="3" t="str">
        <f t="shared" si="2"/>
        <v>Segment B</v>
      </c>
    </row>
    <row r="176" spans="1:4" ht="22" x14ac:dyDescent="0.3">
      <c r="A176" s="3" t="s">
        <v>85</v>
      </c>
      <c r="B176" s="3" t="s">
        <v>5</v>
      </c>
      <c r="C176" s="4">
        <v>46223.15</v>
      </c>
      <c r="D176" s="3" t="str">
        <f t="shared" si="2"/>
        <v>Segment B</v>
      </c>
    </row>
    <row r="177" spans="1:4" ht="22" x14ac:dyDescent="0.3">
      <c r="A177" s="3" t="s">
        <v>133</v>
      </c>
      <c r="B177" s="3" t="s">
        <v>1</v>
      </c>
      <c r="C177" s="4">
        <v>46223.179166666669</v>
      </c>
      <c r="D177" s="3" t="str">
        <f t="shared" si="2"/>
        <v>Segment A</v>
      </c>
    </row>
    <row r="178" spans="1:4" ht="22" x14ac:dyDescent="0.3">
      <c r="A178" s="3" t="s">
        <v>134</v>
      </c>
      <c r="B178" s="3" t="s">
        <v>12</v>
      </c>
      <c r="C178" s="4">
        <v>46223.20208333333</v>
      </c>
      <c r="D178" s="3" t="str">
        <f t="shared" si="2"/>
        <v>Segment B</v>
      </c>
    </row>
    <row r="179" spans="1:4" ht="22" x14ac:dyDescent="0.3">
      <c r="A179" s="3" t="s">
        <v>80</v>
      </c>
      <c r="B179" s="3" t="s">
        <v>15</v>
      </c>
      <c r="C179" s="4">
        <v>46223.193055555559</v>
      </c>
      <c r="D179" s="3" t="str">
        <f t="shared" si="2"/>
        <v>Segment B</v>
      </c>
    </row>
    <row r="180" spans="1:4" ht="22" x14ac:dyDescent="0.3">
      <c r="A180" s="3" t="s">
        <v>135</v>
      </c>
      <c r="B180" s="3" t="s">
        <v>5</v>
      </c>
      <c r="C180" s="4">
        <v>46223.151388888888</v>
      </c>
      <c r="D180" s="3" t="str">
        <f t="shared" si="2"/>
        <v>Segment B</v>
      </c>
    </row>
    <row r="181" spans="1:4" ht="22" x14ac:dyDescent="0.3">
      <c r="A181" s="3" t="s">
        <v>136</v>
      </c>
      <c r="B181" s="3" t="s">
        <v>5</v>
      </c>
      <c r="C181" s="4">
        <v>46223.152083333334</v>
      </c>
      <c r="D181" s="3" t="str">
        <f t="shared" si="2"/>
        <v>Segment A</v>
      </c>
    </row>
    <row r="182" spans="1:4" ht="22" x14ac:dyDescent="0.3">
      <c r="A182" s="3" t="s">
        <v>44</v>
      </c>
      <c r="B182" s="3" t="s">
        <v>1</v>
      </c>
      <c r="C182" s="4">
        <v>46223.158333333333</v>
      </c>
      <c r="D182" s="3" t="str">
        <f t="shared" si="2"/>
        <v>Segment B</v>
      </c>
    </row>
    <row r="183" spans="1:4" ht="22" x14ac:dyDescent="0.3">
      <c r="A183" s="3" t="s">
        <v>137</v>
      </c>
      <c r="B183" s="3" t="s">
        <v>1</v>
      </c>
      <c r="C183" s="4">
        <v>46223.173611111109</v>
      </c>
      <c r="D183" s="3" t="str">
        <f t="shared" si="2"/>
        <v>Segment A</v>
      </c>
    </row>
    <row r="184" spans="1:4" ht="22" x14ac:dyDescent="0.3">
      <c r="A184" s="3" t="s">
        <v>138</v>
      </c>
      <c r="B184" s="3" t="s">
        <v>5</v>
      </c>
      <c r="C184" s="4">
        <v>46223.146527777775</v>
      </c>
      <c r="D184" s="3" t="str">
        <f t="shared" si="2"/>
        <v>Segment A</v>
      </c>
    </row>
    <row r="185" spans="1:4" ht="22" x14ac:dyDescent="0.3">
      <c r="A185" s="3" t="s">
        <v>139</v>
      </c>
      <c r="B185" s="3" t="s">
        <v>1</v>
      </c>
      <c r="C185" s="4">
        <v>46223.174305555556</v>
      </c>
      <c r="D185" s="3" t="str">
        <f t="shared" si="2"/>
        <v>Segment A</v>
      </c>
    </row>
    <row r="186" spans="1:4" ht="22" x14ac:dyDescent="0.3">
      <c r="A186" s="3" t="s">
        <v>99</v>
      </c>
      <c r="B186" s="3" t="s">
        <v>15</v>
      </c>
      <c r="C186" s="4">
        <v>46223.206944444442</v>
      </c>
      <c r="D186" s="3" t="str">
        <f t="shared" si="2"/>
        <v>Segment A</v>
      </c>
    </row>
    <row r="187" spans="1:4" ht="22" x14ac:dyDescent="0.3">
      <c r="A187" s="3" t="s">
        <v>140</v>
      </c>
      <c r="B187" s="3" t="s">
        <v>5</v>
      </c>
      <c r="C187" s="4">
        <v>46223.164583333331</v>
      </c>
      <c r="D187" s="3" t="str">
        <f t="shared" si="2"/>
        <v>Segment B</v>
      </c>
    </row>
    <row r="188" spans="1:4" ht="22" x14ac:dyDescent="0.3">
      <c r="A188" s="3" t="s">
        <v>141</v>
      </c>
      <c r="B188" s="3" t="s">
        <v>5</v>
      </c>
      <c r="C188" s="4">
        <v>46223.15902777778</v>
      </c>
      <c r="D188" s="3" t="str">
        <f t="shared" si="2"/>
        <v>Segment B</v>
      </c>
    </row>
    <row r="189" spans="1:4" ht="22" x14ac:dyDescent="0.3">
      <c r="A189" s="3" t="s">
        <v>142</v>
      </c>
      <c r="B189" s="3" t="s">
        <v>3</v>
      </c>
      <c r="C189" s="4">
        <v>46223.179861111108</v>
      </c>
      <c r="D189" s="3" t="str">
        <f t="shared" si="2"/>
        <v>Segment B</v>
      </c>
    </row>
    <row r="190" spans="1:4" ht="22" x14ac:dyDescent="0.3">
      <c r="A190" s="3" t="s">
        <v>143</v>
      </c>
      <c r="B190" s="3" t="s">
        <v>3</v>
      </c>
      <c r="C190" s="4">
        <v>46223.169444444444</v>
      </c>
      <c r="D190" s="3" t="str">
        <f t="shared" si="2"/>
        <v>Segment A</v>
      </c>
    </row>
    <row r="191" spans="1:4" ht="22" x14ac:dyDescent="0.3">
      <c r="A191" s="3" t="s">
        <v>10</v>
      </c>
      <c r="B191" s="3" t="s">
        <v>12</v>
      </c>
      <c r="C191" s="4">
        <v>46223.203472222223</v>
      </c>
      <c r="D191" s="3" t="str">
        <f t="shared" si="2"/>
        <v>Segment B</v>
      </c>
    </row>
    <row r="192" spans="1:4" ht="22" x14ac:dyDescent="0.3">
      <c r="A192" s="3" t="s">
        <v>107</v>
      </c>
      <c r="B192" s="3" t="s">
        <v>5</v>
      </c>
      <c r="C192" s="4">
        <v>46223.151388888888</v>
      </c>
      <c r="D192" s="3" t="str">
        <f t="shared" si="2"/>
        <v>Segment B</v>
      </c>
    </row>
    <row r="193" spans="1:4" ht="22" x14ac:dyDescent="0.3">
      <c r="A193" s="3" t="s">
        <v>144</v>
      </c>
      <c r="B193" s="3" t="s">
        <v>5</v>
      </c>
      <c r="C193" s="4">
        <v>46223.152777777781</v>
      </c>
      <c r="D193" s="3" t="str">
        <f t="shared" si="2"/>
        <v>Segment A</v>
      </c>
    </row>
    <row r="194" spans="1:4" ht="22" x14ac:dyDescent="0.3">
      <c r="A194" s="3" t="s">
        <v>145</v>
      </c>
      <c r="B194" s="3" t="s">
        <v>5</v>
      </c>
      <c r="C194" s="4">
        <v>46223.161111111112</v>
      </c>
      <c r="D194" s="3" t="str">
        <f t="shared" ref="D194:D257" si="3">IF(VALUE(RIGHT(A194,1))&lt;=4,"Segment A","Segment B")</f>
        <v>Segment A</v>
      </c>
    </row>
    <row r="195" spans="1:4" ht="22" x14ac:dyDescent="0.3">
      <c r="A195" s="3" t="s">
        <v>71</v>
      </c>
      <c r="B195" s="3" t="s">
        <v>5</v>
      </c>
      <c r="C195" s="4">
        <v>46223.147916666669</v>
      </c>
      <c r="D195" s="3" t="str">
        <f t="shared" si="3"/>
        <v>Segment B</v>
      </c>
    </row>
    <row r="196" spans="1:4" ht="22" x14ac:dyDescent="0.3">
      <c r="A196" s="3" t="s">
        <v>98</v>
      </c>
      <c r="B196" s="3" t="s">
        <v>1</v>
      </c>
      <c r="C196" s="4">
        <v>46223.158333333333</v>
      </c>
      <c r="D196" s="3" t="str">
        <f t="shared" si="3"/>
        <v>Segment B</v>
      </c>
    </row>
    <row r="197" spans="1:4" ht="22" x14ac:dyDescent="0.3">
      <c r="A197" s="3" t="s">
        <v>94</v>
      </c>
      <c r="B197" s="3" t="s">
        <v>5</v>
      </c>
      <c r="C197" s="4">
        <v>46223.161805555559</v>
      </c>
      <c r="D197" s="3" t="str">
        <f t="shared" si="3"/>
        <v>Segment B</v>
      </c>
    </row>
    <row r="198" spans="1:4" ht="22" x14ac:dyDescent="0.3">
      <c r="A198" s="3" t="s">
        <v>146</v>
      </c>
      <c r="B198" s="3" t="s">
        <v>15</v>
      </c>
      <c r="C198" s="4">
        <v>46223.214583333334</v>
      </c>
      <c r="D198" s="3" t="str">
        <f t="shared" si="3"/>
        <v>Segment B</v>
      </c>
    </row>
    <row r="199" spans="1:4" ht="22" x14ac:dyDescent="0.3">
      <c r="A199" s="3" t="s">
        <v>147</v>
      </c>
      <c r="B199" s="3" t="s">
        <v>3</v>
      </c>
      <c r="C199" s="4">
        <v>46223.193055555559</v>
      </c>
      <c r="D199" s="3" t="str">
        <f t="shared" si="3"/>
        <v>Segment A</v>
      </c>
    </row>
    <row r="200" spans="1:4" ht="22" x14ac:dyDescent="0.3">
      <c r="A200" s="3" t="s">
        <v>148</v>
      </c>
      <c r="B200" s="3" t="s">
        <v>1</v>
      </c>
      <c r="C200" s="4">
        <v>46223.158333333333</v>
      </c>
      <c r="D200" s="3" t="str">
        <f t="shared" si="3"/>
        <v>Segment B</v>
      </c>
    </row>
    <row r="201" spans="1:4" ht="22" x14ac:dyDescent="0.3">
      <c r="A201" s="3" t="s">
        <v>149</v>
      </c>
      <c r="B201" s="3" t="s">
        <v>5</v>
      </c>
      <c r="C201" s="4">
        <v>46223.17291666667</v>
      </c>
      <c r="D201" s="3" t="str">
        <f t="shared" si="3"/>
        <v>Segment B</v>
      </c>
    </row>
    <row r="202" spans="1:4" ht="22" x14ac:dyDescent="0.3">
      <c r="A202" s="3" t="s">
        <v>150</v>
      </c>
      <c r="B202" s="3" t="s">
        <v>3</v>
      </c>
      <c r="C202" s="4">
        <v>46223.180555555555</v>
      </c>
      <c r="D202" s="3" t="str">
        <f t="shared" si="3"/>
        <v>Segment A</v>
      </c>
    </row>
    <row r="203" spans="1:4" ht="22" x14ac:dyDescent="0.3">
      <c r="A203" s="3" t="s">
        <v>151</v>
      </c>
      <c r="B203" s="3" t="s">
        <v>5</v>
      </c>
      <c r="C203" s="4">
        <v>46223.17083333333</v>
      </c>
      <c r="D203" s="3" t="str">
        <f t="shared" si="3"/>
        <v>Segment A</v>
      </c>
    </row>
    <row r="204" spans="1:4" ht="22" x14ac:dyDescent="0.3">
      <c r="A204" s="3" t="s">
        <v>152</v>
      </c>
      <c r="B204" s="3" t="s">
        <v>3</v>
      </c>
      <c r="C204" s="4">
        <v>46223.179861111108</v>
      </c>
      <c r="D204" s="3" t="str">
        <f t="shared" si="3"/>
        <v>Segment B</v>
      </c>
    </row>
    <row r="205" spans="1:4" ht="22" x14ac:dyDescent="0.3">
      <c r="A205" s="3" t="s">
        <v>135</v>
      </c>
      <c r="B205" s="3" t="s">
        <v>1</v>
      </c>
      <c r="C205" s="4">
        <v>46223.168055555558</v>
      </c>
      <c r="D205" s="3" t="str">
        <f t="shared" si="3"/>
        <v>Segment B</v>
      </c>
    </row>
    <row r="206" spans="1:4" ht="22" x14ac:dyDescent="0.3">
      <c r="A206" s="3" t="s">
        <v>134</v>
      </c>
      <c r="B206" s="3" t="s">
        <v>1</v>
      </c>
      <c r="C206" s="4">
        <v>46223.156944444447</v>
      </c>
      <c r="D206" s="3" t="str">
        <f t="shared" si="3"/>
        <v>Segment B</v>
      </c>
    </row>
    <row r="207" spans="1:4" ht="22" x14ac:dyDescent="0.3">
      <c r="A207" s="3" t="s">
        <v>99</v>
      </c>
      <c r="B207" s="3" t="s">
        <v>5</v>
      </c>
      <c r="C207" s="4">
        <v>46223.158333333333</v>
      </c>
      <c r="D207" s="3" t="str">
        <f t="shared" si="3"/>
        <v>Segment A</v>
      </c>
    </row>
    <row r="208" spans="1:4" ht="22" x14ac:dyDescent="0.3">
      <c r="A208" s="3" t="s">
        <v>83</v>
      </c>
      <c r="B208" s="3" t="s">
        <v>5</v>
      </c>
      <c r="C208" s="4">
        <v>46223.150694444441</v>
      </c>
      <c r="D208" s="3" t="str">
        <f t="shared" si="3"/>
        <v>Segment A</v>
      </c>
    </row>
    <row r="209" spans="1:4" ht="22" x14ac:dyDescent="0.3">
      <c r="A209" s="3" t="s">
        <v>114</v>
      </c>
      <c r="B209" s="3" t="s">
        <v>5</v>
      </c>
      <c r="C209" s="4">
        <v>46223.169444444444</v>
      </c>
      <c r="D209" s="3" t="str">
        <f t="shared" si="3"/>
        <v>Segment B</v>
      </c>
    </row>
    <row r="210" spans="1:4" ht="22" x14ac:dyDescent="0.3">
      <c r="A210" s="3" t="s">
        <v>108</v>
      </c>
      <c r="B210" s="3" t="s">
        <v>5</v>
      </c>
      <c r="C210" s="4">
        <v>46223.17083333333</v>
      </c>
      <c r="D210" s="3" t="str">
        <f t="shared" si="3"/>
        <v>Segment B</v>
      </c>
    </row>
    <row r="211" spans="1:4" ht="22" x14ac:dyDescent="0.3">
      <c r="A211" s="3" t="s">
        <v>153</v>
      </c>
      <c r="B211" s="3" t="s">
        <v>3</v>
      </c>
      <c r="C211" s="4">
        <v>46223.181944444441</v>
      </c>
      <c r="D211" s="3" t="str">
        <f t="shared" si="3"/>
        <v>Segment A</v>
      </c>
    </row>
    <row r="212" spans="1:4" ht="22" x14ac:dyDescent="0.3">
      <c r="A212" s="3" t="s">
        <v>142</v>
      </c>
      <c r="B212" s="3" t="s">
        <v>5</v>
      </c>
      <c r="C212" s="4">
        <v>46223.162499999999</v>
      </c>
      <c r="D212" s="3" t="str">
        <f t="shared" si="3"/>
        <v>Segment B</v>
      </c>
    </row>
    <row r="213" spans="1:4" ht="22" x14ac:dyDescent="0.3">
      <c r="A213" s="3" t="s">
        <v>139</v>
      </c>
      <c r="B213" s="3" t="s">
        <v>3</v>
      </c>
      <c r="C213" s="4">
        <v>46223.180555555555</v>
      </c>
      <c r="D213" s="3" t="str">
        <f t="shared" si="3"/>
        <v>Segment A</v>
      </c>
    </row>
    <row r="214" spans="1:4" ht="22" x14ac:dyDescent="0.3">
      <c r="A214" s="3" t="s">
        <v>154</v>
      </c>
      <c r="B214" s="3" t="s">
        <v>5</v>
      </c>
      <c r="C214" s="4">
        <v>46223.165972222225</v>
      </c>
      <c r="D214" s="3" t="str">
        <f t="shared" si="3"/>
        <v>Segment A</v>
      </c>
    </row>
    <row r="215" spans="1:4" ht="22" x14ac:dyDescent="0.3">
      <c r="A215" s="3" t="s">
        <v>155</v>
      </c>
      <c r="B215" s="3" t="s">
        <v>12</v>
      </c>
      <c r="C215" s="4">
        <v>46223.202777777777</v>
      </c>
      <c r="D215" s="3" t="str">
        <f t="shared" si="3"/>
        <v>Segment B</v>
      </c>
    </row>
    <row r="216" spans="1:4" ht="22" x14ac:dyDescent="0.3">
      <c r="A216" s="3" t="s">
        <v>6</v>
      </c>
      <c r="B216" s="3" t="s">
        <v>1</v>
      </c>
      <c r="C216" s="4">
        <v>46223.165277777778</v>
      </c>
      <c r="D216" s="3" t="str">
        <f t="shared" si="3"/>
        <v>Segment B</v>
      </c>
    </row>
    <row r="217" spans="1:4" ht="22" x14ac:dyDescent="0.3">
      <c r="A217" s="3" t="s">
        <v>116</v>
      </c>
      <c r="B217" s="3" t="s">
        <v>3</v>
      </c>
      <c r="C217" s="4">
        <v>46223.182638888888</v>
      </c>
      <c r="D217" s="3" t="str">
        <f t="shared" si="3"/>
        <v>Segment A</v>
      </c>
    </row>
    <row r="218" spans="1:4" ht="22" x14ac:dyDescent="0.3">
      <c r="A218" s="3" t="s">
        <v>156</v>
      </c>
      <c r="B218" s="3" t="s">
        <v>1</v>
      </c>
      <c r="C218" s="4">
        <v>46223.168055555558</v>
      </c>
      <c r="D218" s="3" t="str">
        <f t="shared" si="3"/>
        <v>Segment B</v>
      </c>
    </row>
    <row r="219" spans="1:4" ht="22" x14ac:dyDescent="0.3">
      <c r="A219" s="3" t="s">
        <v>121</v>
      </c>
      <c r="B219" s="3" t="s">
        <v>5</v>
      </c>
      <c r="C219" s="4">
        <v>46223.154861111114</v>
      </c>
      <c r="D219" s="3" t="str">
        <f t="shared" si="3"/>
        <v>Segment B</v>
      </c>
    </row>
    <row r="220" spans="1:4" ht="22" x14ac:dyDescent="0.3">
      <c r="A220" s="3" t="s">
        <v>143</v>
      </c>
      <c r="B220" s="3" t="s">
        <v>5</v>
      </c>
      <c r="C220" s="4">
        <v>46223.164583333331</v>
      </c>
      <c r="D220" s="3" t="str">
        <f t="shared" si="3"/>
        <v>Segment A</v>
      </c>
    </row>
    <row r="221" spans="1:4" ht="22" x14ac:dyDescent="0.3">
      <c r="A221" s="3" t="s">
        <v>20</v>
      </c>
      <c r="B221" s="3" t="s">
        <v>5</v>
      </c>
      <c r="C221" s="4">
        <v>46223.162499999999</v>
      </c>
      <c r="D221" s="3" t="str">
        <f t="shared" si="3"/>
        <v>Segment A</v>
      </c>
    </row>
    <row r="222" spans="1:4" ht="22" x14ac:dyDescent="0.3">
      <c r="A222" s="3" t="s">
        <v>157</v>
      </c>
      <c r="B222" s="3" t="s">
        <v>1</v>
      </c>
      <c r="C222" s="4">
        <v>46223.158333333333</v>
      </c>
      <c r="D222" s="3" t="str">
        <f t="shared" si="3"/>
        <v>Segment A</v>
      </c>
    </row>
    <row r="223" spans="1:4" ht="22" x14ac:dyDescent="0.3">
      <c r="A223" s="3" t="s">
        <v>137</v>
      </c>
      <c r="B223" s="3" t="s">
        <v>3</v>
      </c>
      <c r="C223" s="4">
        <v>46223.181250000001</v>
      </c>
      <c r="D223" s="3" t="str">
        <f t="shared" si="3"/>
        <v>Segment A</v>
      </c>
    </row>
    <row r="224" spans="1:4" ht="22" x14ac:dyDescent="0.3">
      <c r="A224" s="3" t="s">
        <v>158</v>
      </c>
      <c r="B224" s="3" t="s">
        <v>3</v>
      </c>
      <c r="C224" s="4">
        <v>46223.18472222222</v>
      </c>
      <c r="D224" s="3" t="str">
        <f t="shared" si="3"/>
        <v>Segment A</v>
      </c>
    </row>
    <row r="225" spans="1:4" ht="22" x14ac:dyDescent="0.3">
      <c r="A225" s="3" t="s">
        <v>23</v>
      </c>
      <c r="B225" s="3" t="s">
        <v>15</v>
      </c>
      <c r="C225" s="4">
        <v>46223.196527777778</v>
      </c>
      <c r="D225" s="3" t="str">
        <f t="shared" si="3"/>
        <v>Segment A</v>
      </c>
    </row>
    <row r="226" spans="1:4" ht="22" x14ac:dyDescent="0.3">
      <c r="A226" s="3" t="s">
        <v>111</v>
      </c>
      <c r="B226" s="3" t="s">
        <v>1</v>
      </c>
      <c r="C226" s="4">
        <v>46223.15625</v>
      </c>
      <c r="D226" s="3" t="str">
        <f t="shared" si="3"/>
        <v>Segment B</v>
      </c>
    </row>
    <row r="227" spans="1:4" ht="22" x14ac:dyDescent="0.3">
      <c r="A227" s="3" t="s">
        <v>131</v>
      </c>
      <c r="B227" s="3" t="s">
        <v>12</v>
      </c>
      <c r="C227" s="4">
        <v>46223.197222222225</v>
      </c>
      <c r="D227" s="3" t="str">
        <f t="shared" si="3"/>
        <v>Segment A</v>
      </c>
    </row>
    <row r="228" spans="1:4" ht="22" x14ac:dyDescent="0.3">
      <c r="A228" s="3" t="s">
        <v>11</v>
      </c>
      <c r="B228" s="3" t="s">
        <v>1</v>
      </c>
      <c r="C228" s="4">
        <v>46223.175000000003</v>
      </c>
      <c r="D228" s="3" t="str">
        <f t="shared" si="3"/>
        <v>Segment B</v>
      </c>
    </row>
    <row r="229" spans="1:4" ht="22" x14ac:dyDescent="0.3">
      <c r="A229" s="3" t="s">
        <v>48</v>
      </c>
      <c r="B229" s="3" t="s">
        <v>3</v>
      </c>
      <c r="C229" s="4">
        <v>46223.17083333333</v>
      </c>
      <c r="D229" s="3" t="str">
        <f t="shared" si="3"/>
        <v>Segment A</v>
      </c>
    </row>
    <row r="230" spans="1:4" ht="22" x14ac:dyDescent="0.3">
      <c r="A230" s="3" t="s">
        <v>159</v>
      </c>
      <c r="B230" s="3" t="s">
        <v>3</v>
      </c>
      <c r="C230" s="4">
        <v>46223.174305555556</v>
      </c>
      <c r="D230" s="3" t="str">
        <f t="shared" si="3"/>
        <v>Segment B</v>
      </c>
    </row>
    <row r="231" spans="1:4" ht="22" x14ac:dyDescent="0.3">
      <c r="A231" s="3" t="s">
        <v>160</v>
      </c>
      <c r="B231" s="3" t="s">
        <v>1</v>
      </c>
      <c r="C231" s="4">
        <v>46223.164583333331</v>
      </c>
      <c r="D231" s="3" t="str">
        <f t="shared" si="3"/>
        <v>Segment B</v>
      </c>
    </row>
    <row r="232" spans="1:4" ht="22" x14ac:dyDescent="0.3">
      <c r="A232" s="3" t="s">
        <v>161</v>
      </c>
      <c r="B232" s="3" t="s">
        <v>5</v>
      </c>
      <c r="C232" s="4">
        <v>46223.148611111108</v>
      </c>
      <c r="D232" s="3" t="str">
        <f t="shared" si="3"/>
        <v>Segment A</v>
      </c>
    </row>
    <row r="233" spans="1:4" ht="22" x14ac:dyDescent="0.3">
      <c r="A233" s="3" t="s">
        <v>86</v>
      </c>
      <c r="B233" s="3" t="s">
        <v>5</v>
      </c>
      <c r="C233" s="4">
        <v>46223.171527777777</v>
      </c>
      <c r="D233" s="3" t="str">
        <f t="shared" si="3"/>
        <v>Segment B</v>
      </c>
    </row>
    <row r="234" spans="1:4" ht="22" x14ac:dyDescent="0.3">
      <c r="A234" s="3" t="s">
        <v>162</v>
      </c>
      <c r="B234" s="3" t="s">
        <v>5</v>
      </c>
      <c r="C234" s="4">
        <v>46223.168055555558</v>
      </c>
      <c r="D234" s="3" t="str">
        <f t="shared" si="3"/>
        <v>Segment A</v>
      </c>
    </row>
    <row r="235" spans="1:4" ht="22" x14ac:dyDescent="0.3">
      <c r="A235" s="3" t="s">
        <v>124</v>
      </c>
      <c r="B235" s="3" t="s">
        <v>1</v>
      </c>
      <c r="C235" s="4">
        <v>46223.15902777778</v>
      </c>
      <c r="D235" s="3" t="str">
        <f t="shared" si="3"/>
        <v>Segment B</v>
      </c>
    </row>
    <row r="236" spans="1:4" ht="22" x14ac:dyDescent="0.3">
      <c r="A236" s="3" t="s">
        <v>25</v>
      </c>
      <c r="B236" s="3" t="s">
        <v>5</v>
      </c>
      <c r="C236" s="4">
        <v>46223.17291666667</v>
      </c>
      <c r="D236" s="3" t="str">
        <f t="shared" si="3"/>
        <v>Segment B</v>
      </c>
    </row>
    <row r="237" spans="1:4" ht="22" x14ac:dyDescent="0.3">
      <c r="A237" s="3" t="s">
        <v>163</v>
      </c>
      <c r="B237" s="3" t="s">
        <v>3</v>
      </c>
      <c r="C237" s="4">
        <v>46223.185416666667</v>
      </c>
      <c r="D237" s="3" t="str">
        <f t="shared" si="3"/>
        <v>Segment B</v>
      </c>
    </row>
    <row r="238" spans="1:4" ht="22" x14ac:dyDescent="0.3">
      <c r="A238" s="3" t="s">
        <v>122</v>
      </c>
      <c r="B238" s="3" t="s">
        <v>5</v>
      </c>
      <c r="C238" s="4">
        <v>46223.167361111111</v>
      </c>
      <c r="D238" s="3" t="str">
        <f t="shared" si="3"/>
        <v>Segment B</v>
      </c>
    </row>
    <row r="239" spans="1:4" ht="22" x14ac:dyDescent="0.3">
      <c r="A239" s="3" t="s">
        <v>148</v>
      </c>
      <c r="B239" s="3" t="s">
        <v>5</v>
      </c>
      <c r="C239" s="4">
        <v>46223.162499999999</v>
      </c>
      <c r="D239" s="3" t="str">
        <f t="shared" si="3"/>
        <v>Segment B</v>
      </c>
    </row>
    <row r="240" spans="1:4" ht="22" x14ac:dyDescent="0.3">
      <c r="A240" s="3" t="s">
        <v>164</v>
      </c>
      <c r="B240" s="3" t="s">
        <v>5</v>
      </c>
      <c r="C240" s="4">
        <v>46223.148611111108</v>
      </c>
      <c r="D240" s="3" t="str">
        <f t="shared" si="3"/>
        <v>Segment B</v>
      </c>
    </row>
    <row r="241" spans="1:4" ht="22" x14ac:dyDescent="0.3">
      <c r="A241" s="3" t="s">
        <v>165</v>
      </c>
      <c r="B241" s="3" t="s">
        <v>15</v>
      </c>
      <c r="C241" s="4">
        <v>46223.195138888892</v>
      </c>
      <c r="D241" s="3" t="str">
        <f t="shared" si="3"/>
        <v>Segment B</v>
      </c>
    </row>
    <row r="242" spans="1:4" ht="22" x14ac:dyDescent="0.3">
      <c r="A242" s="3" t="s">
        <v>60</v>
      </c>
      <c r="B242" s="3" t="s">
        <v>1</v>
      </c>
      <c r="C242" s="4">
        <v>46223.170138888891</v>
      </c>
      <c r="D242" s="3" t="str">
        <f t="shared" si="3"/>
        <v>Segment B</v>
      </c>
    </row>
    <row r="243" spans="1:4" ht="22" x14ac:dyDescent="0.3">
      <c r="A243" s="3" t="s">
        <v>43</v>
      </c>
      <c r="B243" s="3" t="s">
        <v>5</v>
      </c>
      <c r="C243" s="4">
        <v>46223.155555555553</v>
      </c>
      <c r="D243" s="3" t="str">
        <f t="shared" si="3"/>
        <v>Segment A</v>
      </c>
    </row>
    <row r="244" spans="1:4" ht="22" x14ac:dyDescent="0.3">
      <c r="A244" s="3" t="s">
        <v>106</v>
      </c>
      <c r="B244" s="3" t="s">
        <v>3</v>
      </c>
      <c r="C244" s="4">
        <v>46223.179166666669</v>
      </c>
      <c r="D244" s="3" t="str">
        <f t="shared" si="3"/>
        <v>Segment A</v>
      </c>
    </row>
    <row r="245" spans="1:4" ht="22" x14ac:dyDescent="0.3">
      <c r="A245" s="3" t="s">
        <v>166</v>
      </c>
      <c r="B245" s="3" t="s">
        <v>5</v>
      </c>
      <c r="C245" s="4">
        <v>46223.172222222223</v>
      </c>
      <c r="D245" s="3" t="str">
        <f t="shared" si="3"/>
        <v>Segment A</v>
      </c>
    </row>
    <row r="246" spans="1:4" ht="22" x14ac:dyDescent="0.3">
      <c r="A246" s="3" t="s">
        <v>103</v>
      </c>
      <c r="B246" s="3" t="s">
        <v>1</v>
      </c>
      <c r="C246" s="4">
        <v>46223.181944444441</v>
      </c>
      <c r="D246" s="3" t="str">
        <f t="shared" si="3"/>
        <v>Segment A</v>
      </c>
    </row>
    <row r="247" spans="1:4" ht="22" x14ac:dyDescent="0.3">
      <c r="A247" s="3" t="s">
        <v>34</v>
      </c>
      <c r="B247" s="3" t="s">
        <v>15</v>
      </c>
      <c r="C247" s="4">
        <v>46223.20208333333</v>
      </c>
      <c r="D247" s="3" t="str">
        <f t="shared" si="3"/>
        <v>Segment A</v>
      </c>
    </row>
    <row r="248" spans="1:4" ht="22" x14ac:dyDescent="0.3">
      <c r="A248" s="3" t="s">
        <v>84</v>
      </c>
      <c r="B248" s="3" t="s">
        <v>1</v>
      </c>
      <c r="C248" s="4">
        <v>46223.163194444445</v>
      </c>
      <c r="D248" s="3" t="str">
        <f t="shared" si="3"/>
        <v>Segment A</v>
      </c>
    </row>
    <row r="249" spans="1:4" ht="22" x14ac:dyDescent="0.3">
      <c r="A249" s="3" t="s">
        <v>167</v>
      </c>
      <c r="B249" s="3" t="s">
        <v>5</v>
      </c>
      <c r="C249" s="4">
        <v>46223.152777777781</v>
      </c>
      <c r="D249" s="3" t="str">
        <f t="shared" si="3"/>
        <v>Segment B</v>
      </c>
    </row>
    <row r="250" spans="1:4" ht="22" x14ac:dyDescent="0.3">
      <c r="A250" s="3" t="s">
        <v>168</v>
      </c>
      <c r="B250" s="3" t="s">
        <v>5</v>
      </c>
      <c r="C250" s="4">
        <v>46223.150694444441</v>
      </c>
      <c r="D250" s="3" t="str">
        <f t="shared" si="3"/>
        <v>Segment B</v>
      </c>
    </row>
    <row r="251" spans="1:4" ht="22" x14ac:dyDescent="0.3">
      <c r="A251" s="3" t="s">
        <v>42</v>
      </c>
      <c r="B251" s="3" t="s">
        <v>5</v>
      </c>
      <c r="C251" s="4">
        <v>46223.145833333336</v>
      </c>
      <c r="D251" s="3" t="str">
        <f t="shared" si="3"/>
        <v>Segment A</v>
      </c>
    </row>
    <row r="252" spans="1:4" ht="22" x14ac:dyDescent="0.3">
      <c r="A252" s="3" t="s">
        <v>33</v>
      </c>
      <c r="B252" s="3" t="s">
        <v>3</v>
      </c>
      <c r="C252" s="4">
        <v>46223.1875</v>
      </c>
      <c r="D252" s="3" t="str">
        <f t="shared" si="3"/>
        <v>Segment A</v>
      </c>
    </row>
    <row r="253" spans="1:4" ht="22" x14ac:dyDescent="0.3">
      <c r="A253" s="3" t="s">
        <v>122</v>
      </c>
      <c r="B253" s="3" t="s">
        <v>1</v>
      </c>
      <c r="C253" s="4">
        <v>46223.17291666667</v>
      </c>
      <c r="D253" s="3" t="str">
        <f t="shared" si="3"/>
        <v>Segment B</v>
      </c>
    </row>
    <row r="254" spans="1:4" ht="22" x14ac:dyDescent="0.3">
      <c r="A254" s="3" t="s">
        <v>92</v>
      </c>
      <c r="B254" s="3" t="s">
        <v>5</v>
      </c>
      <c r="C254" s="4">
        <v>46223.152777777781</v>
      </c>
      <c r="D254" s="3" t="str">
        <f t="shared" si="3"/>
        <v>Segment B</v>
      </c>
    </row>
    <row r="255" spans="1:4" ht="22" x14ac:dyDescent="0.3">
      <c r="A255" s="3" t="s">
        <v>169</v>
      </c>
      <c r="B255" s="3" t="s">
        <v>5</v>
      </c>
      <c r="C255" s="4">
        <v>46223.164583333331</v>
      </c>
      <c r="D255" s="3" t="str">
        <f t="shared" si="3"/>
        <v>Segment A</v>
      </c>
    </row>
    <row r="256" spans="1:4" ht="22" x14ac:dyDescent="0.3">
      <c r="A256" s="3" t="s">
        <v>81</v>
      </c>
      <c r="B256" s="3" t="s">
        <v>1</v>
      </c>
      <c r="C256" s="4">
        <v>46223.180555555555</v>
      </c>
      <c r="D256" s="3" t="str">
        <f t="shared" si="3"/>
        <v>Segment A</v>
      </c>
    </row>
    <row r="257" spans="1:4" ht="22" x14ac:dyDescent="0.3">
      <c r="A257" s="3" t="s">
        <v>136</v>
      </c>
      <c r="B257" s="3" t="s">
        <v>3</v>
      </c>
      <c r="C257" s="4">
        <v>46223.169444444444</v>
      </c>
      <c r="D257" s="3" t="str">
        <f t="shared" si="3"/>
        <v>Segment A</v>
      </c>
    </row>
    <row r="258" spans="1:4" ht="22" x14ac:dyDescent="0.3">
      <c r="A258" s="3" t="s">
        <v>53</v>
      </c>
      <c r="B258" s="3" t="s">
        <v>15</v>
      </c>
      <c r="C258" s="4">
        <v>46223.197916666664</v>
      </c>
      <c r="D258" s="3" t="str">
        <f t="shared" ref="D258:D321" si="4">IF(VALUE(RIGHT(A258,1))&lt;=4,"Segment A","Segment B")</f>
        <v>Segment A</v>
      </c>
    </row>
    <row r="259" spans="1:4" ht="22" x14ac:dyDescent="0.3">
      <c r="A259" s="3" t="s">
        <v>57</v>
      </c>
      <c r="B259" s="3" t="s">
        <v>3</v>
      </c>
      <c r="C259" s="4">
        <v>46223.186805555553</v>
      </c>
      <c r="D259" s="3" t="str">
        <f t="shared" si="4"/>
        <v>Segment B</v>
      </c>
    </row>
    <row r="260" spans="1:4" ht="22" x14ac:dyDescent="0.3">
      <c r="A260" s="3" t="s">
        <v>170</v>
      </c>
      <c r="B260" s="3" t="s">
        <v>1</v>
      </c>
      <c r="C260" s="4">
        <v>46223.173611111109</v>
      </c>
      <c r="D260" s="3" t="str">
        <f t="shared" si="4"/>
        <v>Segment B</v>
      </c>
    </row>
    <row r="261" spans="1:4" ht="22" x14ac:dyDescent="0.3">
      <c r="A261" s="3" t="s">
        <v>26</v>
      </c>
      <c r="B261" s="3" t="s">
        <v>5</v>
      </c>
      <c r="C261" s="4">
        <v>46223.166666666664</v>
      </c>
      <c r="D261" s="3" t="str">
        <f t="shared" si="4"/>
        <v>Segment B</v>
      </c>
    </row>
    <row r="262" spans="1:4" ht="22" x14ac:dyDescent="0.3">
      <c r="A262" s="3" t="s">
        <v>112</v>
      </c>
      <c r="B262" s="3" t="s">
        <v>3</v>
      </c>
      <c r="C262" s="4">
        <v>46223.190972222219</v>
      </c>
      <c r="D262" s="3" t="str">
        <f t="shared" si="4"/>
        <v>Segment B</v>
      </c>
    </row>
    <row r="263" spans="1:4" ht="22" x14ac:dyDescent="0.3">
      <c r="A263" s="3" t="s">
        <v>100</v>
      </c>
      <c r="B263" s="3" t="s">
        <v>12</v>
      </c>
      <c r="C263" s="4">
        <v>46223.188194444447</v>
      </c>
      <c r="D263" s="3" t="str">
        <f t="shared" si="4"/>
        <v>Segment A</v>
      </c>
    </row>
    <row r="264" spans="1:4" ht="22" x14ac:dyDescent="0.3">
      <c r="A264" s="3" t="s">
        <v>74</v>
      </c>
      <c r="B264" s="3" t="s">
        <v>1</v>
      </c>
      <c r="C264" s="4">
        <v>46223.170138888891</v>
      </c>
      <c r="D264" s="3" t="str">
        <f t="shared" si="4"/>
        <v>Segment A</v>
      </c>
    </row>
    <row r="265" spans="1:4" ht="22" x14ac:dyDescent="0.3">
      <c r="A265" s="3" t="s">
        <v>168</v>
      </c>
      <c r="B265" s="3" t="s">
        <v>1</v>
      </c>
      <c r="C265" s="4">
        <v>46223.156944444447</v>
      </c>
      <c r="D265" s="3" t="str">
        <f t="shared" si="4"/>
        <v>Segment B</v>
      </c>
    </row>
    <row r="266" spans="1:4" ht="22" x14ac:dyDescent="0.3">
      <c r="A266" s="3" t="s">
        <v>142</v>
      </c>
      <c r="B266" s="3" t="s">
        <v>1</v>
      </c>
      <c r="C266" s="4">
        <v>46223.156944444447</v>
      </c>
      <c r="D266" s="3" t="str">
        <f t="shared" si="4"/>
        <v>Segment B</v>
      </c>
    </row>
    <row r="267" spans="1:4" ht="22" x14ac:dyDescent="0.3">
      <c r="A267" s="3" t="s">
        <v>160</v>
      </c>
      <c r="B267" s="3" t="s">
        <v>5</v>
      </c>
      <c r="C267" s="4">
        <v>46223.163194444445</v>
      </c>
      <c r="D267" s="3" t="str">
        <f t="shared" si="4"/>
        <v>Segment B</v>
      </c>
    </row>
    <row r="268" spans="1:4" ht="22" x14ac:dyDescent="0.3">
      <c r="A268" s="3" t="s">
        <v>21</v>
      </c>
      <c r="B268" s="3" t="s">
        <v>5</v>
      </c>
      <c r="C268" s="4">
        <v>46223.169444444444</v>
      </c>
      <c r="D268" s="3" t="str">
        <f t="shared" si="4"/>
        <v>Segment A</v>
      </c>
    </row>
    <row r="269" spans="1:4" ht="22" x14ac:dyDescent="0.3">
      <c r="A269" s="3" t="s">
        <v>171</v>
      </c>
      <c r="B269" s="3" t="s">
        <v>5</v>
      </c>
      <c r="C269" s="4">
        <v>46223.158333333333</v>
      </c>
      <c r="D269" s="3" t="str">
        <f t="shared" si="4"/>
        <v>Segment B</v>
      </c>
    </row>
    <row r="270" spans="1:4" ht="22" x14ac:dyDescent="0.3">
      <c r="A270" s="3" t="s">
        <v>151</v>
      </c>
      <c r="B270" s="3" t="s">
        <v>1</v>
      </c>
      <c r="C270" s="4">
        <v>46223.163194444445</v>
      </c>
      <c r="D270" s="3" t="str">
        <f t="shared" si="4"/>
        <v>Segment A</v>
      </c>
    </row>
    <row r="271" spans="1:4" ht="22" x14ac:dyDescent="0.3">
      <c r="A271" s="3" t="s">
        <v>55</v>
      </c>
      <c r="B271" s="3" t="s">
        <v>15</v>
      </c>
      <c r="C271" s="4">
        <v>46223.211805555555</v>
      </c>
      <c r="D271" s="3" t="str">
        <f t="shared" si="4"/>
        <v>Segment A</v>
      </c>
    </row>
    <row r="272" spans="1:4" ht="22" x14ac:dyDescent="0.3">
      <c r="A272" s="3" t="s">
        <v>120</v>
      </c>
      <c r="B272" s="3" t="s">
        <v>12</v>
      </c>
      <c r="C272" s="4">
        <v>46223.186111111114</v>
      </c>
      <c r="D272" s="3" t="str">
        <f t="shared" si="4"/>
        <v>Segment A</v>
      </c>
    </row>
    <row r="273" spans="1:4" ht="22" x14ac:dyDescent="0.3">
      <c r="A273" s="3" t="s">
        <v>89</v>
      </c>
      <c r="B273" s="3" t="s">
        <v>5</v>
      </c>
      <c r="C273" s="4">
        <v>46223.152083333334</v>
      </c>
      <c r="D273" s="3" t="str">
        <f t="shared" si="4"/>
        <v>Segment B</v>
      </c>
    </row>
    <row r="274" spans="1:4" ht="22" x14ac:dyDescent="0.3">
      <c r="A274" s="3" t="s">
        <v>46</v>
      </c>
      <c r="B274" s="3" t="s">
        <v>3</v>
      </c>
      <c r="C274" s="4">
        <v>46223.171527777777</v>
      </c>
      <c r="D274" s="3" t="str">
        <f t="shared" si="4"/>
        <v>Segment B</v>
      </c>
    </row>
    <row r="275" spans="1:4" ht="22" x14ac:dyDescent="0.3">
      <c r="A275" s="3" t="s">
        <v>116</v>
      </c>
      <c r="B275" s="3" t="s">
        <v>1</v>
      </c>
      <c r="C275" s="4">
        <v>46223.181250000001</v>
      </c>
      <c r="D275" s="3" t="str">
        <f t="shared" si="4"/>
        <v>Segment A</v>
      </c>
    </row>
    <row r="276" spans="1:4" ht="22" x14ac:dyDescent="0.3">
      <c r="A276" s="3" t="s">
        <v>140</v>
      </c>
      <c r="B276" s="3" t="s">
        <v>1</v>
      </c>
      <c r="C276" s="4">
        <v>46223.162499999999</v>
      </c>
      <c r="D276" s="3" t="str">
        <f t="shared" si="4"/>
        <v>Segment B</v>
      </c>
    </row>
    <row r="277" spans="1:4" ht="22" x14ac:dyDescent="0.3">
      <c r="A277" s="3" t="s">
        <v>172</v>
      </c>
      <c r="B277" s="3" t="s">
        <v>3</v>
      </c>
      <c r="C277" s="4">
        <v>46223.172222222223</v>
      </c>
      <c r="D277" s="3" t="str">
        <f t="shared" si="4"/>
        <v>Segment A</v>
      </c>
    </row>
    <row r="278" spans="1:4" ht="22" x14ac:dyDescent="0.3">
      <c r="A278" s="3" t="s">
        <v>169</v>
      </c>
      <c r="B278" s="3" t="s">
        <v>3</v>
      </c>
      <c r="C278" s="4">
        <v>46223.185416666667</v>
      </c>
      <c r="D278" s="3" t="str">
        <f t="shared" si="4"/>
        <v>Segment A</v>
      </c>
    </row>
    <row r="279" spans="1:4" ht="22" x14ac:dyDescent="0.3">
      <c r="A279" s="3" t="s">
        <v>173</v>
      </c>
      <c r="B279" s="3" t="s">
        <v>15</v>
      </c>
      <c r="C279" s="4">
        <v>46223.209027777775</v>
      </c>
      <c r="D279" s="3" t="str">
        <f t="shared" si="4"/>
        <v>Segment B</v>
      </c>
    </row>
    <row r="280" spans="1:4" ht="22" x14ac:dyDescent="0.3">
      <c r="A280" s="3" t="s">
        <v>27</v>
      </c>
      <c r="B280" s="3" t="s">
        <v>1</v>
      </c>
      <c r="C280" s="4">
        <v>46223.175694444442</v>
      </c>
      <c r="D280" s="3" t="str">
        <f t="shared" si="4"/>
        <v>Segment A</v>
      </c>
    </row>
    <row r="281" spans="1:4" ht="22" x14ac:dyDescent="0.3">
      <c r="A281" s="3" t="s">
        <v>174</v>
      </c>
      <c r="B281" s="3" t="s">
        <v>1</v>
      </c>
      <c r="C281" s="4">
        <v>46223.163194444445</v>
      </c>
      <c r="D281" s="3" t="str">
        <f t="shared" si="4"/>
        <v>Segment B</v>
      </c>
    </row>
    <row r="282" spans="1:4" ht="22" x14ac:dyDescent="0.3">
      <c r="A282" s="3" t="s">
        <v>123</v>
      </c>
      <c r="B282" s="3" t="s">
        <v>15</v>
      </c>
      <c r="C282" s="4">
        <v>46223.199999999997</v>
      </c>
      <c r="D282" s="3" t="str">
        <f t="shared" si="4"/>
        <v>Segment A</v>
      </c>
    </row>
    <row r="283" spans="1:4" ht="22" x14ac:dyDescent="0.3">
      <c r="A283" s="3" t="s">
        <v>175</v>
      </c>
      <c r="B283" s="3" t="s">
        <v>5</v>
      </c>
      <c r="C283" s="4">
        <v>46223.159722222219</v>
      </c>
      <c r="D283" s="3" t="str">
        <f t="shared" si="4"/>
        <v>Segment A</v>
      </c>
    </row>
    <row r="284" spans="1:4" ht="22" x14ac:dyDescent="0.3">
      <c r="A284" s="3" t="s">
        <v>138</v>
      </c>
      <c r="B284" s="3" t="s">
        <v>3</v>
      </c>
      <c r="C284" s="4">
        <v>46223.181944444441</v>
      </c>
      <c r="D284" s="3" t="str">
        <f t="shared" si="4"/>
        <v>Segment A</v>
      </c>
    </row>
    <row r="285" spans="1:4" ht="22" x14ac:dyDescent="0.3">
      <c r="A285" s="3" t="s">
        <v>156</v>
      </c>
      <c r="B285" s="3" t="s">
        <v>5</v>
      </c>
      <c r="C285" s="4">
        <v>46223.17291666667</v>
      </c>
      <c r="D285" s="3" t="str">
        <f t="shared" si="4"/>
        <v>Segment B</v>
      </c>
    </row>
    <row r="286" spans="1:4" ht="22" x14ac:dyDescent="0.3">
      <c r="A286" s="3" t="s">
        <v>152</v>
      </c>
      <c r="B286" s="3" t="s">
        <v>1</v>
      </c>
      <c r="C286" s="4">
        <v>46223.163888888892</v>
      </c>
      <c r="D286" s="3" t="str">
        <f t="shared" si="4"/>
        <v>Segment B</v>
      </c>
    </row>
    <row r="287" spans="1:4" ht="22" x14ac:dyDescent="0.3">
      <c r="A287" s="3" t="s">
        <v>113</v>
      </c>
      <c r="B287" s="3" t="s">
        <v>5</v>
      </c>
      <c r="C287" s="4">
        <v>46223.172222222223</v>
      </c>
      <c r="D287" s="3" t="str">
        <f t="shared" si="4"/>
        <v>Segment B</v>
      </c>
    </row>
    <row r="288" spans="1:4" ht="22" x14ac:dyDescent="0.3">
      <c r="A288" s="3" t="s">
        <v>45</v>
      </c>
      <c r="B288" s="3" t="s">
        <v>1</v>
      </c>
      <c r="C288" s="4">
        <v>46223.166666666664</v>
      </c>
      <c r="D288" s="3" t="str">
        <f t="shared" si="4"/>
        <v>Segment B</v>
      </c>
    </row>
    <row r="289" spans="1:4" ht="22" x14ac:dyDescent="0.3">
      <c r="A289" s="3" t="s">
        <v>176</v>
      </c>
      <c r="B289" s="3" t="s">
        <v>1</v>
      </c>
      <c r="C289" s="4">
        <v>46223.15625</v>
      </c>
      <c r="D289" s="3" t="str">
        <f t="shared" si="4"/>
        <v>Segment A</v>
      </c>
    </row>
    <row r="290" spans="1:4" ht="22" x14ac:dyDescent="0.3">
      <c r="A290" s="3" t="s">
        <v>177</v>
      </c>
      <c r="B290" s="3" t="s">
        <v>3</v>
      </c>
      <c r="C290" s="4">
        <v>46223.190972222219</v>
      </c>
      <c r="D290" s="3" t="str">
        <f t="shared" si="4"/>
        <v>Segment B</v>
      </c>
    </row>
    <row r="291" spans="1:4" ht="22" x14ac:dyDescent="0.3">
      <c r="A291" s="3" t="s">
        <v>14</v>
      </c>
      <c r="B291" s="3" t="s">
        <v>1</v>
      </c>
      <c r="C291" s="4">
        <v>46223.179861111108</v>
      </c>
      <c r="D291" s="3" t="str">
        <f t="shared" si="4"/>
        <v>Segment B</v>
      </c>
    </row>
    <row r="292" spans="1:4" ht="22" x14ac:dyDescent="0.3">
      <c r="A292" s="3" t="s">
        <v>178</v>
      </c>
      <c r="B292" s="3" t="s">
        <v>3</v>
      </c>
      <c r="C292" s="4">
        <v>46223.166666666664</v>
      </c>
      <c r="D292" s="3" t="str">
        <f t="shared" si="4"/>
        <v>Segment B</v>
      </c>
    </row>
    <row r="293" spans="1:4" ht="22" x14ac:dyDescent="0.3">
      <c r="A293" s="3" t="s">
        <v>13</v>
      </c>
      <c r="B293" s="3" t="s">
        <v>12</v>
      </c>
      <c r="C293" s="4">
        <v>46223.178472222222</v>
      </c>
      <c r="D293" s="3" t="str">
        <f t="shared" si="4"/>
        <v>Segment B</v>
      </c>
    </row>
    <row r="294" spans="1:4" ht="22" x14ac:dyDescent="0.3">
      <c r="A294" s="3" t="s">
        <v>179</v>
      </c>
      <c r="B294" s="3" t="s">
        <v>1</v>
      </c>
      <c r="C294" s="4">
        <v>46223.175000000003</v>
      </c>
      <c r="D294" s="3" t="str">
        <f t="shared" si="4"/>
        <v>Segment B</v>
      </c>
    </row>
    <row r="295" spans="1:4" ht="22" x14ac:dyDescent="0.3">
      <c r="A295" s="3" t="s">
        <v>180</v>
      </c>
      <c r="B295" s="3" t="s">
        <v>1</v>
      </c>
      <c r="C295" s="4">
        <v>46223.163194444445</v>
      </c>
      <c r="D295" s="3" t="str">
        <f t="shared" si="4"/>
        <v>Segment A</v>
      </c>
    </row>
    <row r="296" spans="1:4" ht="22" x14ac:dyDescent="0.3">
      <c r="A296" s="3" t="s">
        <v>86</v>
      </c>
      <c r="B296" s="3" t="s">
        <v>15</v>
      </c>
      <c r="C296" s="4">
        <v>46223.214583333334</v>
      </c>
      <c r="D296" s="3" t="str">
        <f t="shared" si="4"/>
        <v>Segment B</v>
      </c>
    </row>
    <row r="297" spans="1:4" ht="22" x14ac:dyDescent="0.3">
      <c r="A297" s="3" t="s">
        <v>11</v>
      </c>
      <c r="B297" s="3" t="s">
        <v>5</v>
      </c>
      <c r="C297" s="4">
        <v>46223.152777777781</v>
      </c>
      <c r="D297" s="3" t="str">
        <f t="shared" si="4"/>
        <v>Segment B</v>
      </c>
    </row>
    <row r="298" spans="1:4" ht="22" x14ac:dyDescent="0.3">
      <c r="A298" s="3" t="s">
        <v>144</v>
      </c>
      <c r="B298" s="3" t="s">
        <v>1</v>
      </c>
      <c r="C298" s="4">
        <v>46223.165972222225</v>
      </c>
      <c r="D298" s="3" t="str">
        <f t="shared" si="4"/>
        <v>Segment A</v>
      </c>
    </row>
    <row r="299" spans="1:4" ht="22" x14ac:dyDescent="0.3">
      <c r="A299" s="3" t="s">
        <v>101</v>
      </c>
      <c r="B299" s="3" t="s">
        <v>1</v>
      </c>
      <c r="C299" s="4">
        <v>46223.172222222223</v>
      </c>
      <c r="D299" s="3" t="str">
        <f t="shared" si="4"/>
        <v>Segment A</v>
      </c>
    </row>
    <row r="300" spans="1:4" ht="22" x14ac:dyDescent="0.3">
      <c r="A300" s="3" t="s">
        <v>63</v>
      </c>
      <c r="B300" s="3" t="s">
        <v>5</v>
      </c>
      <c r="C300" s="4">
        <v>46223.165972222225</v>
      </c>
      <c r="D300" s="3" t="str">
        <f t="shared" si="4"/>
        <v>Segment B</v>
      </c>
    </row>
    <row r="301" spans="1:4" ht="22" x14ac:dyDescent="0.3">
      <c r="A301" s="3" t="s">
        <v>181</v>
      </c>
      <c r="B301" s="3" t="s">
        <v>3</v>
      </c>
      <c r="C301" s="4">
        <v>46223.18472222222</v>
      </c>
      <c r="D301" s="3" t="str">
        <f t="shared" si="4"/>
        <v>Segment A</v>
      </c>
    </row>
    <row r="302" spans="1:4" ht="22" x14ac:dyDescent="0.3">
      <c r="A302" s="3" t="s">
        <v>147</v>
      </c>
      <c r="B302" s="3" t="s">
        <v>5</v>
      </c>
      <c r="C302" s="4">
        <v>46223.168749999997</v>
      </c>
      <c r="D302" s="3" t="str">
        <f t="shared" si="4"/>
        <v>Segment A</v>
      </c>
    </row>
    <row r="303" spans="1:4" ht="22" x14ac:dyDescent="0.3">
      <c r="A303" s="3" t="s">
        <v>76</v>
      </c>
      <c r="B303" s="3" t="s">
        <v>12</v>
      </c>
      <c r="C303" s="4">
        <v>46223.183333333334</v>
      </c>
      <c r="D303" s="3" t="str">
        <f t="shared" si="4"/>
        <v>Segment A</v>
      </c>
    </row>
    <row r="304" spans="1:4" ht="22" x14ac:dyDescent="0.3">
      <c r="A304" s="3" t="s">
        <v>110</v>
      </c>
      <c r="B304" s="3" t="s">
        <v>1</v>
      </c>
      <c r="C304" s="4">
        <v>46223.165277777778</v>
      </c>
      <c r="D304" s="3" t="str">
        <f t="shared" si="4"/>
        <v>Segment A</v>
      </c>
    </row>
    <row r="305" spans="1:4" ht="22" x14ac:dyDescent="0.3">
      <c r="A305" s="3" t="s">
        <v>170</v>
      </c>
      <c r="B305" s="3" t="s">
        <v>5</v>
      </c>
      <c r="C305" s="4">
        <v>46223.15</v>
      </c>
      <c r="D305" s="3" t="str">
        <f t="shared" si="4"/>
        <v>Segment B</v>
      </c>
    </row>
    <row r="306" spans="1:4" ht="22" x14ac:dyDescent="0.3">
      <c r="A306" s="3" t="s">
        <v>159</v>
      </c>
      <c r="B306" s="3" t="s">
        <v>5</v>
      </c>
      <c r="C306" s="4">
        <v>46223.165972222225</v>
      </c>
      <c r="D306" s="3" t="str">
        <f t="shared" si="4"/>
        <v>Segment B</v>
      </c>
    </row>
    <row r="307" spans="1:4" ht="22" x14ac:dyDescent="0.3">
      <c r="A307" s="3" t="s">
        <v>104</v>
      </c>
      <c r="B307" s="3" t="s">
        <v>5</v>
      </c>
      <c r="C307" s="4">
        <v>46223.162499999999</v>
      </c>
      <c r="D307" s="3" t="str">
        <f t="shared" si="4"/>
        <v>Segment B</v>
      </c>
    </row>
    <row r="308" spans="1:4" ht="22" x14ac:dyDescent="0.3">
      <c r="A308" s="3" t="s">
        <v>50</v>
      </c>
      <c r="B308" s="3" t="s">
        <v>1</v>
      </c>
      <c r="C308" s="4">
        <v>46223.183333333334</v>
      </c>
      <c r="D308" s="3" t="str">
        <f t="shared" si="4"/>
        <v>Segment A</v>
      </c>
    </row>
    <row r="309" spans="1:4" ht="22" x14ac:dyDescent="0.3">
      <c r="A309" s="3" t="s">
        <v>130</v>
      </c>
      <c r="B309" s="3" t="s">
        <v>15</v>
      </c>
      <c r="C309" s="4">
        <v>46223.211111111108</v>
      </c>
      <c r="D309" s="3" t="str">
        <f t="shared" si="4"/>
        <v>Segment A</v>
      </c>
    </row>
    <row r="310" spans="1:4" ht="22" x14ac:dyDescent="0.3">
      <c r="A310" s="3" t="s">
        <v>182</v>
      </c>
      <c r="B310" s="3" t="s">
        <v>5</v>
      </c>
      <c r="C310" s="4">
        <v>46223.172222222223</v>
      </c>
      <c r="D310" s="3" t="str">
        <f t="shared" si="4"/>
        <v>Segment A</v>
      </c>
    </row>
    <row r="311" spans="1:4" ht="22" x14ac:dyDescent="0.3">
      <c r="A311" s="3" t="s">
        <v>174</v>
      </c>
      <c r="B311" s="3" t="s">
        <v>15</v>
      </c>
      <c r="C311" s="4">
        <v>46223.20208333333</v>
      </c>
      <c r="D311" s="3" t="str">
        <f t="shared" si="4"/>
        <v>Segment B</v>
      </c>
    </row>
    <row r="312" spans="1:4" ht="22" x14ac:dyDescent="0.3">
      <c r="A312" s="3" t="s">
        <v>127</v>
      </c>
      <c r="B312" s="3" t="s">
        <v>5</v>
      </c>
      <c r="C312" s="4">
        <v>46223.152083333334</v>
      </c>
      <c r="D312" s="3" t="str">
        <f t="shared" si="4"/>
        <v>Segment A</v>
      </c>
    </row>
    <row r="313" spans="1:4" ht="22" x14ac:dyDescent="0.3">
      <c r="A313" s="3" t="s">
        <v>127</v>
      </c>
      <c r="B313" s="3" t="s">
        <v>12</v>
      </c>
      <c r="C313" s="4">
        <v>46223.182638888888</v>
      </c>
      <c r="D313" s="3" t="str">
        <f t="shared" si="4"/>
        <v>Segment A</v>
      </c>
    </row>
    <row r="314" spans="1:4" ht="22" x14ac:dyDescent="0.3">
      <c r="A314" s="3" t="s">
        <v>126</v>
      </c>
      <c r="B314" s="3" t="s">
        <v>5</v>
      </c>
      <c r="C314" s="4">
        <v>46223.167361111111</v>
      </c>
      <c r="D314" s="3" t="str">
        <f t="shared" si="4"/>
        <v>Segment A</v>
      </c>
    </row>
    <row r="315" spans="1:4" ht="22" x14ac:dyDescent="0.3">
      <c r="A315" s="3" t="s">
        <v>109</v>
      </c>
      <c r="B315" s="3" t="s">
        <v>5</v>
      </c>
      <c r="C315" s="4">
        <v>46223.147222222222</v>
      </c>
      <c r="D315" s="3" t="str">
        <f t="shared" si="4"/>
        <v>Segment B</v>
      </c>
    </row>
    <row r="316" spans="1:4" ht="22" x14ac:dyDescent="0.3">
      <c r="A316" s="3" t="s">
        <v>165</v>
      </c>
      <c r="B316" s="3" t="s">
        <v>1</v>
      </c>
      <c r="C316" s="4">
        <v>46223.15902777778</v>
      </c>
      <c r="D316" s="3" t="str">
        <f t="shared" si="4"/>
        <v>Segment B</v>
      </c>
    </row>
    <row r="317" spans="1:4" ht="22" x14ac:dyDescent="0.3">
      <c r="A317" s="3" t="s">
        <v>19</v>
      </c>
      <c r="B317" s="3" t="s">
        <v>15</v>
      </c>
      <c r="C317" s="4">
        <v>46223.195833333331</v>
      </c>
      <c r="D317" s="3" t="str">
        <f t="shared" si="4"/>
        <v>Segment A</v>
      </c>
    </row>
    <row r="318" spans="1:4" ht="22" x14ac:dyDescent="0.3">
      <c r="A318" s="3" t="s">
        <v>44</v>
      </c>
      <c r="B318" s="3" t="s">
        <v>5</v>
      </c>
      <c r="C318" s="4">
        <v>46223.171527777777</v>
      </c>
      <c r="D318" s="3" t="str">
        <f t="shared" si="4"/>
        <v>Segment B</v>
      </c>
    </row>
    <row r="319" spans="1:4" ht="22" x14ac:dyDescent="0.3">
      <c r="A319" s="3" t="s">
        <v>9</v>
      </c>
      <c r="B319" s="3" t="s">
        <v>1</v>
      </c>
      <c r="C319" s="4">
        <v>46223.163888888892</v>
      </c>
      <c r="D319" s="3" t="str">
        <f t="shared" si="4"/>
        <v>Segment A</v>
      </c>
    </row>
    <row r="320" spans="1:4" ht="22" x14ac:dyDescent="0.3">
      <c r="A320" s="3" t="s">
        <v>183</v>
      </c>
      <c r="B320" s="3" t="s">
        <v>3</v>
      </c>
      <c r="C320" s="4">
        <v>46223.1875</v>
      </c>
      <c r="D320" s="3" t="str">
        <f t="shared" si="4"/>
        <v>Segment B</v>
      </c>
    </row>
    <row r="321" spans="1:4" ht="22" x14ac:dyDescent="0.3">
      <c r="A321" s="3" t="s">
        <v>134</v>
      </c>
      <c r="B321" s="3" t="s">
        <v>5</v>
      </c>
      <c r="C321" s="4">
        <v>46223.164583333331</v>
      </c>
      <c r="D321" s="3" t="str">
        <f t="shared" si="4"/>
        <v>Segment B</v>
      </c>
    </row>
    <row r="322" spans="1:4" ht="22" x14ac:dyDescent="0.3">
      <c r="A322" s="3" t="s">
        <v>137</v>
      </c>
      <c r="B322" s="3" t="s">
        <v>5</v>
      </c>
      <c r="C322" s="4">
        <v>46223.15</v>
      </c>
      <c r="D322" s="3" t="str">
        <f t="shared" ref="D322:D385" si="5">IF(VALUE(RIGHT(A322,1))&lt;=4,"Segment A","Segment B")</f>
        <v>Segment A</v>
      </c>
    </row>
    <row r="323" spans="1:4" ht="22" x14ac:dyDescent="0.3">
      <c r="A323" s="3" t="s">
        <v>178</v>
      </c>
      <c r="B323" s="3" t="s">
        <v>5</v>
      </c>
      <c r="C323" s="4">
        <v>46223.152083333334</v>
      </c>
      <c r="D323" s="3" t="str">
        <f t="shared" si="5"/>
        <v>Segment B</v>
      </c>
    </row>
    <row r="324" spans="1:4" ht="22" x14ac:dyDescent="0.3">
      <c r="A324" s="3" t="s">
        <v>47</v>
      </c>
      <c r="B324" s="3" t="s">
        <v>15</v>
      </c>
      <c r="C324" s="4">
        <v>46223.192361111112</v>
      </c>
      <c r="D324" s="3" t="str">
        <f t="shared" si="5"/>
        <v>Segment B</v>
      </c>
    </row>
    <row r="325" spans="1:4" ht="22" x14ac:dyDescent="0.3">
      <c r="A325" s="3" t="s">
        <v>88</v>
      </c>
      <c r="B325" s="3" t="s">
        <v>1</v>
      </c>
      <c r="C325" s="4">
        <v>46223.17291666667</v>
      </c>
      <c r="D325" s="3" t="str">
        <f t="shared" si="5"/>
        <v>Segment A</v>
      </c>
    </row>
    <row r="326" spans="1:4" ht="22" x14ac:dyDescent="0.3">
      <c r="A326" s="3" t="s">
        <v>7</v>
      </c>
      <c r="B326" s="3" t="s">
        <v>3</v>
      </c>
      <c r="C326" s="4">
        <v>46223.185416666667</v>
      </c>
      <c r="D326" s="3" t="str">
        <f t="shared" si="5"/>
        <v>Segment A</v>
      </c>
    </row>
    <row r="327" spans="1:4" ht="22" x14ac:dyDescent="0.3">
      <c r="A327" s="3" t="s">
        <v>151</v>
      </c>
      <c r="B327" s="3" t="s">
        <v>3</v>
      </c>
      <c r="C327" s="4">
        <v>46223.193749999999</v>
      </c>
      <c r="D327" s="3" t="str">
        <f t="shared" si="5"/>
        <v>Segment A</v>
      </c>
    </row>
    <row r="328" spans="1:4" ht="22" x14ac:dyDescent="0.3">
      <c r="A328" s="3" t="s">
        <v>176</v>
      </c>
      <c r="B328" s="3" t="s">
        <v>3</v>
      </c>
      <c r="C328" s="4">
        <v>46223.181250000001</v>
      </c>
      <c r="D328" s="3" t="str">
        <f t="shared" si="5"/>
        <v>Segment A</v>
      </c>
    </row>
    <row r="329" spans="1:4" ht="22" x14ac:dyDescent="0.3">
      <c r="A329" s="3" t="s">
        <v>133</v>
      </c>
      <c r="B329" s="3" t="s">
        <v>5</v>
      </c>
      <c r="C329" s="4">
        <v>46223.163888888892</v>
      </c>
      <c r="D329" s="3" t="str">
        <f t="shared" si="5"/>
        <v>Segment A</v>
      </c>
    </row>
    <row r="330" spans="1:4" ht="22" x14ac:dyDescent="0.3">
      <c r="A330" s="3" t="s">
        <v>168</v>
      </c>
      <c r="B330" s="3" t="s">
        <v>15</v>
      </c>
      <c r="C330" s="4">
        <v>46223.1875</v>
      </c>
      <c r="D330" s="3" t="str">
        <f t="shared" si="5"/>
        <v>Segment B</v>
      </c>
    </row>
    <row r="331" spans="1:4" ht="22" x14ac:dyDescent="0.3">
      <c r="A331" s="3" t="s">
        <v>184</v>
      </c>
      <c r="B331" s="3" t="s">
        <v>1</v>
      </c>
      <c r="C331" s="4">
        <v>46223.161111111112</v>
      </c>
      <c r="D331" s="3" t="str">
        <f t="shared" si="5"/>
        <v>Segment A</v>
      </c>
    </row>
    <row r="332" spans="1:4" ht="22" x14ac:dyDescent="0.3">
      <c r="A332" s="3" t="s">
        <v>154</v>
      </c>
      <c r="B332" s="3" t="s">
        <v>1</v>
      </c>
      <c r="C332" s="4">
        <v>46223.179166666669</v>
      </c>
      <c r="D332" s="3" t="str">
        <f t="shared" si="5"/>
        <v>Segment A</v>
      </c>
    </row>
    <row r="333" spans="1:4" ht="22" x14ac:dyDescent="0.3">
      <c r="A333" s="3" t="s">
        <v>145</v>
      </c>
      <c r="B333" s="3" t="s">
        <v>1</v>
      </c>
      <c r="C333" s="4">
        <v>46223.158333333333</v>
      </c>
      <c r="D333" s="3" t="str">
        <f t="shared" si="5"/>
        <v>Segment A</v>
      </c>
    </row>
    <row r="334" spans="1:4" ht="22" x14ac:dyDescent="0.3">
      <c r="A334" s="3" t="s">
        <v>166</v>
      </c>
      <c r="B334" s="3" t="s">
        <v>1</v>
      </c>
      <c r="C334" s="4">
        <v>46223.15902777778</v>
      </c>
      <c r="D334" s="3" t="str">
        <f t="shared" si="5"/>
        <v>Segment A</v>
      </c>
    </row>
    <row r="335" spans="1:4" ht="22" x14ac:dyDescent="0.3">
      <c r="A335" s="3" t="s">
        <v>90</v>
      </c>
      <c r="B335" s="3" t="s">
        <v>1</v>
      </c>
      <c r="C335" s="4">
        <v>46223.165972222225</v>
      </c>
      <c r="D335" s="3" t="str">
        <f t="shared" si="5"/>
        <v>Segment A</v>
      </c>
    </row>
    <row r="336" spans="1:4" ht="22" x14ac:dyDescent="0.3">
      <c r="A336" s="3" t="s">
        <v>69</v>
      </c>
      <c r="B336" s="3" t="s">
        <v>1</v>
      </c>
      <c r="C336" s="4">
        <v>46223.172222222223</v>
      </c>
      <c r="D336" s="3" t="str">
        <f t="shared" si="5"/>
        <v>Segment A</v>
      </c>
    </row>
    <row r="337" spans="1:4" ht="22" x14ac:dyDescent="0.3">
      <c r="A337" s="3" t="s">
        <v>149</v>
      </c>
      <c r="B337" s="3" t="s">
        <v>12</v>
      </c>
      <c r="C337" s="4">
        <v>46223.177777777775</v>
      </c>
      <c r="D337" s="3" t="str">
        <f t="shared" si="5"/>
        <v>Segment B</v>
      </c>
    </row>
    <row r="338" spans="1:4" ht="22" x14ac:dyDescent="0.3">
      <c r="A338" s="3" t="s">
        <v>161</v>
      </c>
      <c r="B338" s="3" t="s">
        <v>3</v>
      </c>
      <c r="C338" s="4">
        <v>46223.186805555553</v>
      </c>
      <c r="D338" s="3" t="str">
        <f t="shared" si="5"/>
        <v>Segment A</v>
      </c>
    </row>
    <row r="339" spans="1:4" ht="22" x14ac:dyDescent="0.3">
      <c r="A339" s="3" t="s">
        <v>96</v>
      </c>
      <c r="B339" s="3" t="s">
        <v>5</v>
      </c>
      <c r="C339" s="4">
        <v>46223.171527777777</v>
      </c>
      <c r="D339" s="3" t="str">
        <f t="shared" si="5"/>
        <v>Segment A</v>
      </c>
    </row>
    <row r="340" spans="1:4" ht="22" x14ac:dyDescent="0.3">
      <c r="A340" s="3" t="s">
        <v>2</v>
      </c>
      <c r="B340" s="3" t="s">
        <v>5</v>
      </c>
      <c r="C340" s="4">
        <v>46223.149305555555</v>
      </c>
      <c r="D340" s="3" t="str">
        <f t="shared" si="5"/>
        <v>Segment B</v>
      </c>
    </row>
    <row r="341" spans="1:4" ht="22" x14ac:dyDescent="0.3">
      <c r="A341" s="3" t="s">
        <v>119</v>
      </c>
      <c r="B341" s="3" t="s">
        <v>15</v>
      </c>
      <c r="C341" s="4">
        <v>46223.197916666664</v>
      </c>
      <c r="D341" s="3" t="str">
        <f t="shared" si="5"/>
        <v>Segment B</v>
      </c>
    </row>
    <row r="342" spans="1:4" ht="22" x14ac:dyDescent="0.3">
      <c r="A342" s="3" t="s">
        <v>108</v>
      </c>
      <c r="B342" s="3" t="s">
        <v>1</v>
      </c>
      <c r="C342" s="4">
        <v>46223.15625</v>
      </c>
      <c r="D342" s="3" t="str">
        <f t="shared" si="5"/>
        <v>Segment B</v>
      </c>
    </row>
    <row r="343" spans="1:4" ht="22" x14ac:dyDescent="0.3">
      <c r="A343" s="3" t="s">
        <v>179</v>
      </c>
      <c r="B343" s="3" t="s">
        <v>5</v>
      </c>
      <c r="C343" s="4">
        <v>46223.171527777777</v>
      </c>
      <c r="D343" s="3" t="str">
        <f t="shared" si="5"/>
        <v>Segment B</v>
      </c>
    </row>
    <row r="344" spans="1:4" ht="22" x14ac:dyDescent="0.3">
      <c r="A344" s="3" t="s">
        <v>10</v>
      </c>
      <c r="B344" s="3" t="s">
        <v>5</v>
      </c>
      <c r="C344" s="4">
        <v>46223.165277777778</v>
      </c>
      <c r="D344" s="3" t="str">
        <f t="shared" si="5"/>
        <v>Segment B</v>
      </c>
    </row>
    <row r="345" spans="1:4" ht="22" x14ac:dyDescent="0.3">
      <c r="A345" s="3" t="s">
        <v>98</v>
      </c>
      <c r="B345" s="3" t="s">
        <v>5</v>
      </c>
      <c r="C345" s="4">
        <v>46223.162499999999</v>
      </c>
      <c r="D345" s="3" t="str">
        <f t="shared" si="5"/>
        <v>Segment B</v>
      </c>
    </row>
    <row r="346" spans="1:4" ht="22" x14ac:dyDescent="0.3">
      <c r="A346" s="3" t="s">
        <v>95</v>
      </c>
      <c r="B346" s="3" t="s">
        <v>5</v>
      </c>
      <c r="C346" s="4">
        <v>46223.147222222222</v>
      </c>
      <c r="D346" s="3" t="str">
        <f t="shared" si="5"/>
        <v>Segment A</v>
      </c>
    </row>
    <row r="347" spans="1:4" ht="22" x14ac:dyDescent="0.3">
      <c r="A347" s="3" t="s">
        <v>185</v>
      </c>
      <c r="B347" s="3" t="s">
        <v>5</v>
      </c>
      <c r="C347" s="4">
        <v>46223.165277777778</v>
      </c>
      <c r="D347" s="3" t="str">
        <f t="shared" si="5"/>
        <v>Segment B</v>
      </c>
    </row>
    <row r="348" spans="1:4" ht="22" x14ac:dyDescent="0.3">
      <c r="A348" s="3" t="s">
        <v>155</v>
      </c>
      <c r="B348" s="3" t="s">
        <v>1</v>
      </c>
      <c r="C348" s="4">
        <v>46223.160416666666</v>
      </c>
      <c r="D348" s="3" t="str">
        <f t="shared" si="5"/>
        <v>Segment B</v>
      </c>
    </row>
    <row r="349" spans="1:4" ht="22" x14ac:dyDescent="0.3">
      <c r="A349" s="3" t="s">
        <v>159</v>
      </c>
      <c r="B349" s="3" t="s">
        <v>1</v>
      </c>
      <c r="C349" s="4">
        <v>46223.164583333331</v>
      </c>
      <c r="D349" s="3" t="str">
        <f t="shared" si="5"/>
        <v>Segment B</v>
      </c>
    </row>
    <row r="350" spans="1:4" ht="22" x14ac:dyDescent="0.3">
      <c r="A350" s="3" t="s">
        <v>146</v>
      </c>
      <c r="B350" s="3" t="s">
        <v>1</v>
      </c>
      <c r="C350" s="4">
        <v>46223.158333333333</v>
      </c>
      <c r="D350" s="3" t="str">
        <f t="shared" si="5"/>
        <v>Segment B</v>
      </c>
    </row>
    <row r="351" spans="1:4" ht="22" x14ac:dyDescent="0.3">
      <c r="A351" s="3" t="s">
        <v>186</v>
      </c>
      <c r="B351" s="3" t="s">
        <v>15</v>
      </c>
      <c r="C351" s="4">
        <v>46223.209722222222</v>
      </c>
      <c r="D351" s="3" t="str">
        <f t="shared" si="5"/>
        <v>Segment A</v>
      </c>
    </row>
    <row r="352" spans="1:4" ht="22" x14ac:dyDescent="0.3">
      <c r="A352" s="3" t="s">
        <v>128</v>
      </c>
      <c r="B352" s="3" t="s">
        <v>1</v>
      </c>
      <c r="C352" s="4">
        <v>46223.168055555558</v>
      </c>
      <c r="D352" s="3" t="str">
        <f t="shared" si="5"/>
        <v>Segment A</v>
      </c>
    </row>
    <row r="353" spans="1:4" ht="22" x14ac:dyDescent="0.3">
      <c r="A353" s="3" t="s">
        <v>187</v>
      </c>
      <c r="B353" s="3" t="s">
        <v>5</v>
      </c>
      <c r="C353" s="4">
        <v>46223.150694444441</v>
      </c>
      <c r="D353" s="3" t="str">
        <f t="shared" si="5"/>
        <v>Segment A</v>
      </c>
    </row>
    <row r="354" spans="1:4" ht="22" x14ac:dyDescent="0.3">
      <c r="A354" s="3" t="s">
        <v>150</v>
      </c>
      <c r="B354" s="3" t="s">
        <v>5</v>
      </c>
      <c r="C354" s="4">
        <v>46223.15347222222</v>
      </c>
      <c r="D354" s="3" t="str">
        <f t="shared" si="5"/>
        <v>Segment A</v>
      </c>
    </row>
    <row r="355" spans="1:4" ht="22" x14ac:dyDescent="0.3">
      <c r="A355" s="3" t="s">
        <v>36</v>
      </c>
      <c r="B355" s="3" t="s">
        <v>5</v>
      </c>
      <c r="C355" s="4">
        <v>46223.168055555558</v>
      </c>
      <c r="D355" s="3" t="str">
        <f t="shared" si="5"/>
        <v>Segment A</v>
      </c>
    </row>
    <row r="356" spans="1:4" ht="22" x14ac:dyDescent="0.3">
      <c r="A356" s="3" t="s">
        <v>29</v>
      </c>
      <c r="B356" s="3" t="s">
        <v>5</v>
      </c>
      <c r="C356" s="4">
        <v>46223.167361111111</v>
      </c>
      <c r="D356" s="3" t="str">
        <f t="shared" si="5"/>
        <v>Segment A</v>
      </c>
    </row>
    <row r="357" spans="1:4" ht="22" x14ac:dyDescent="0.3">
      <c r="A357" s="3" t="s">
        <v>113</v>
      </c>
      <c r="B357" s="3" t="s">
        <v>1</v>
      </c>
      <c r="C357" s="4">
        <v>46223.161111111112</v>
      </c>
      <c r="D357" s="3" t="str">
        <f t="shared" si="5"/>
        <v>Segment B</v>
      </c>
    </row>
    <row r="358" spans="1:4" ht="22" x14ac:dyDescent="0.3">
      <c r="A358" s="3" t="s">
        <v>88</v>
      </c>
      <c r="B358" s="3" t="s">
        <v>5</v>
      </c>
      <c r="C358" s="4">
        <v>46223.152777777781</v>
      </c>
      <c r="D358" s="3" t="str">
        <f t="shared" si="5"/>
        <v>Segment A</v>
      </c>
    </row>
    <row r="359" spans="1:4" ht="22" x14ac:dyDescent="0.3">
      <c r="A359" s="3" t="s">
        <v>26</v>
      </c>
      <c r="B359" s="3" t="s">
        <v>3</v>
      </c>
      <c r="C359" s="4">
        <v>46223.170138888891</v>
      </c>
      <c r="D359" s="3" t="str">
        <f t="shared" si="5"/>
        <v>Segment B</v>
      </c>
    </row>
    <row r="360" spans="1:4" ht="22" x14ac:dyDescent="0.3">
      <c r="A360" s="3" t="s">
        <v>28</v>
      </c>
      <c r="B360" s="3" t="s">
        <v>3</v>
      </c>
      <c r="C360" s="4">
        <v>46223.175694444442</v>
      </c>
      <c r="D360" s="3" t="str">
        <f t="shared" si="5"/>
        <v>Segment B</v>
      </c>
    </row>
    <row r="361" spans="1:4" ht="22" x14ac:dyDescent="0.3">
      <c r="A361" s="3" t="s">
        <v>97</v>
      </c>
      <c r="B361" s="3" t="s">
        <v>5</v>
      </c>
      <c r="C361" s="4">
        <v>46223.17291666667</v>
      </c>
      <c r="D361" s="3" t="str">
        <f t="shared" si="5"/>
        <v>Segment A</v>
      </c>
    </row>
    <row r="362" spans="1:4" ht="22" x14ac:dyDescent="0.3">
      <c r="A362" s="3" t="s">
        <v>181</v>
      </c>
      <c r="B362" s="3" t="s">
        <v>5</v>
      </c>
      <c r="C362" s="4">
        <v>46223.147916666669</v>
      </c>
      <c r="D362" s="3" t="str">
        <f t="shared" si="5"/>
        <v>Segment A</v>
      </c>
    </row>
    <row r="363" spans="1:4" ht="22" x14ac:dyDescent="0.3">
      <c r="A363" s="3" t="s">
        <v>188</v>
      </c>
      <c r="B363" s="3" t="s">
        <v>3</v>
      </c>
      <c r="C363" s="4">
        <v>46223.193749999999</v>
      </c>
      <c r="D363" s="3" t="str">
        <f t="shared" si="5"/>
        <v>Segment B</v>
      </c>
    </row>
    <row r="364" spans="1:4" ht="22" x14ac:dyDescent="0.3">
      <c r="A364" s="3" t="s">
        <v>189</v>
      </c>
      <c r="B364" s="3" t="s">
        <v>3</v>
      </c>
      <c r="C364" s="4">
        <v>46223.168749999997</v>
      </c>
      <c r="D364" s="3" t="str">
        <f t="shared" si="5"/>
        <v>Segment B</v>
      </c>
    </row>
    <row r="365" spans="1:4" ht="22" x14ac:dyDescent="0.3">
      <c r="A365" s="3" t="s">
        <v>190</v>
      </c>
      <c r="B365" s="3" t="s">
        <v>5</v>
      </c>
      <c r="C365" s="4">
        <v>46223.167361111111</v>
      </c>
      <c r="D365" s="3" t="str">
        <f t="shared" si="5"/>
        <v>Segment A</v>
      </c>
    </row>
    <row r="366" spans="1:4" ht="22" x14ac:dyDescent="0.3">
      <c r="A366" s="3" t="s">
        <v>186</v>
      </c>
      <c r="B366" s="3" t="s">
        <v>1</v>
      </c>
      <c r="C366" s="4">
        <v>46223.15902777778</v>
      </c>
      <c r="D366" s="3" t="str">
        <f t="shared" si="5"/>
        <v>Segment A</v>
      </c>
    </row>
    <row r="367" spans="1:4" ht="22" x14ac:dyDescent="0.3">
      <c r="A367" s="3" t="s">
        <v>77</v>
      </c>
      <c r="B367" s="3" t="s">
        <v>3</v>
      </c>
      <c r="C367" s="4">
        <v>46223.175694444442</v>
      </c>
      <c r="D367" s="3" t="str">
        <f t="shared" si="5"/>
        <v>Segment B</v>
      </c>
    </row>
    <row r="368" spans="1:4" ht="22" x14ac:dyDescent="0.3">
      <c r="A368" s="3" t="s">
        <v>191</v>
      </c>
      <c r="B368" s="3" t="s">
        <v>3</v>
      </c>
      <c r="C368" s="4">
        <v>46223.175000000003</v>
      </c>
      <c r="D368" s="3" t="str">
        <f t="shared" si="5"/>
        <v>Segment B</v>
      </c>
    </row>
    <row r="369" spans="1:4" ht="22" x14ac:dyDescent="0.3">
      <c r="A369" s="3" t="s">
        <v>192</v>
      </c>
      <c r="B369" s="3" t="s">
        <v>3</v>
      </c>
      <c r="C369" s="4">
        <v>46223.174305555556</v>
      </c>
      <c r="D369" s="3" t="str">
        <f t="shared" si="5"/>
        <v>Segment B</v>
      </c>
    </row>
    <row r="370" spans="1:4" ht="22" x14ac:dyDescent="0.3">
      <c r="A370" s="3" t="s">
        <v>128</v>
      </c>
      <c r="B370" s="3" t="s">
        <v>15</v>
      </c>
      <c r="C370" s="4">
        <v>46223.20208333333</v>
      </c>
      <c r="D370" s="3" t="str">
        <f t="shared" si="5"/>
        <v>Segment A</v>
      </c>
    </row>
    <row r="371" spans="1:4" ht="22" x14ac:dyDescent="0.3">
      <c r="A371" s="3" t="s">
        <v>193</v>
      </c>
      <c r="B371" s="3" t="s">
        <v>1</v>
      </c>
      <c r="C371" s="4">
        <v>46223.165972222225</v>
      </c>
      <c r="D371" s="3" t="str">
        <f t="shared" si="5"/>
        <v>Segment A</v>
      </c>
    </row>
    <row r="372" spans="1:4" ht="22" x14ac:dyDescent="0.3">
      <c r="A372" s="3" t="s">
        <v>144</v>
      </c>
      <c r="B372" s="3" t="s">
        <v>3</v>
      </c>
      <c r="C372" s="4">
        <v>46223.186111111114</v>
      </c>
      <c r="D372" s="3" t="str">
        <f t="shared" si="5"/>
        <v>Segment A</v>
      </c>
    </row>
    <row r="373" spans="1:4" ht="22" x14ac:dyDescent="0.3">
      <c r="A373" s="3" t="s">
        <v>188</v>
      </c>
      <c r="B373" s="3" t="s">
        <v>5</v>
      </c>
      <c r="C373" s="4">
        <v>46223.165972222225</v>
      </c>
      <c r="D373" s="3" t="str">
        <f t="shared" si="5"/>
        <v>Segment B</v>
      </c>
    </row>
    <row r="374" spans="1:4" ht="22" x14ac:dyDescent="0.3">
      <c r="A374" s="3" t="s">
        <v>164</v>
      </c>
      <c r="B374" s="3" t="s">
        <v>1</v>
      </c>
      <c r="C374" s="4">
        <v>46223.181250000001</v>
      </c>
      <c r="D374" s="3" t="str">
        <f t="shared" si="5"/>
        <v>Segment B</v>
      </c>
    </row>
    <row r="375" spans="1:4" ht="22" x14ac:dyDescent="0.3">
      <c r="A375" s="3" t="s">
        <v>194</v>
      </c>
      <c r="B375" s="3" t="s">
        <v>5</v>
      </c>
      <c r="C375" s="4">
        <v>46223.156944444447</v>
      </c>
      <c r="D375" s="3" t="str">
        <f t="shared" si="5"/>
        <v>Segment B</v>
      </c>
    </row>
    <row r="376" spans="1:4" ht="22" x14ac:dyDescent="0.3">
      <c r="A376" s="3" t="s">
        <v>175</v>
      </c>
      <c r="B376" s="3" t="s">
        <v>3</v>
      </c>
      <c r="C376" s="4">
        <v>46223.178472222222</v>
      </c>
      <c r="D376" s="3" t="str">
        <f t="shared" si="5"/>
        <v>Segment A</v>
      </c>
    </row>
    <row r="377" spans="1:4" ht="22" x14ac:dyDescent="0.3">
      <c r="A377" s="3" t="s">
        <v>133</v>
      </c>
      <c r="B377" s="3" t="s">
        <v>3</v>
      </c>
      <c r="C377" s="4">
        <v>46223.172222222223</v>
      </c>
      <c r="D377" s="3" t="str">
        <f t="shared" si="5"/>
        <v>Segment A</v>
      </c>
    </row>
    <row r="378" spans="1:4" ht="22" x14ac:dyDescent="0.3">
      <c r="A378" s="3" t="s">
        <v>46</v>
      </c>
      <c r="B378" s="3" t="s">
        <v>5</v>
      </c>
      <c r="C378" s="4">
        <v>46223.147916666669</v>
      </c>
      <c r="D378" s="3" t="str">
        <f t="shared" si="5"/>
        <v>Segment B</v>
      </c>
    </row>
    <row r="379" spans="1:4" ht="22" x14ac:dyDescent="0.3">
      <c r="A379" s="3" t="s">
        <v>39</v>
      </c>
      <c r="B379" s="3" t="s">
        <v>5</v>
      </c>
      <c r="C379" s="4">
        <v>46223.162499999999</v>
      </c>
      <c r="D379" s="3" t="str">
        <f t="shared" si="5"/>
        <v>Segment B</v>
      </c>
    </row>
    <row r="380" spans="1:4" ht="22" x14ac:dyDescent="0.3">
      <c r="A380" s="3" t="s">
        <v>162</v>
      </c>
      <c r="B380" s="3" t="s">
        <v>3</v>
      </c>
      <c r="C380" s="4">
        <v>46223.189583333333</v>
      </c>
      <c r="D380" s="3" t="str">
        <f t="shared" si="5"/>
        <v>Segment A</v>
      </c>
    </row>
    <row r="381" spans="1:4" ht="22" x14ac:dyDescent="0.3">
      <c r="A381" s="3" t="s">
        <v>50</v>
      </c>
      <c r="B381" s="3" t="s">
        <v>5</v>
      </c>
      <c r="C381" s="4">
        <v>46223.149305555555</v>
      </c>
      <c r="D381" s="3" t="str">
        <f t="shared" si="5"/>
        <v>Segment A</v>
      </c>
    </row>
    <row r="382" spans="1:4" ht="22" x14ac:dyDescent="0.3">
      <c r="A382" s="3" t="s">
        <v>174</v>
      </c>
      <c r="B382" s="3" t="s">
        <v>5</v>
      </c>
      <c r="C382" s="4">
        <v>46223.159722222219</v>
      </c>
      <c r="D382" s="3" t="str">
        <f t="shared" si="5"/>
        <v>Segment B</v>
      </c>
    </row>
    <row r="383" spans="1:4" ht="22" x14ac:dyDescent="0.3">
      <c r="A383" s="3" t="s">
        <v>191</v>
      </c>
      <c r="B383" s="3" t="s">
        <v>5</v>
      </c>
      <c r="C383" s="4">
        <v>46223.158333333333</v>
      </c>
      <c r="D383" s="3" t="str">
        <f t="shared" si="5"/>
        <v>Segment B</v>
      </c>
    </row>
    <row r="384" spans="1:4" ht="22" x14ac:dyDescent="0.3">
      <c r="A384" s="3" t="s">
        <v>121</v>
      </c>
      <c r="B384" s="3" t="s">
        <v>1</v>
      </c>
      <c r="C384" s="4">
        <v>46223.169444444444</v>
      </c>
      <c r="D384" s="3" t="str">
        <f t="shared" si="5"/>
        <v>Segment B</v>
      </c>
    </row>
    <row r="385" spans="1:4" ht="22" x14ac:dyDescent="0.3">
      <c r="A385" s="3" t="s">
        <v>195</v>
      </c>
      <c r="B385" s="3" t="s">
        <v>12</v>
      </c>
      <c r="C385" s="4">
        <v>46223.198611111111</v>
      </c>
      <c r="D385" s="3" t="str">
        <f t="shared" si="5"/>
        <v>Segment B</v>
      </c>
    </row>
    <row r="386" spans="1:4" ht="22" x14ac:dyDescent="0.3">
      <c r="A386" s="3" t="s">
        <v>196</v>
      </c>
      <c r="B386" s="3" t="s">
        <v>3</v>
      </c>
      <c r="C386" s="4">
        <v>46223.180555555555</v>
      </c>
      <c r="D386" s="3" t="str">
        <f t="shared" ref="D386:D449" si="6">IF(VALUE(RIGHT(A386,1))&lt;=4,"Segment A","Segment B")</f>
        <v>Segment B</v>
      </c>
    </row>
    <row r="387" spans="1:4" ht="22" x14ac:dyDescent="0.3">
      <c r="A387" s="3" t="s">
        <v>158</v>
      </c>
      <c r="B387" s="3" t="s">
        <v>5</v>
      </c>
      <c r="C387" s="4">
        <v>46223.159722222219</v>
      </c>
      <c r="D387" s="3" t="str">
        <f t="shared" si="6"/>
        <v>Segment A</v>
      </c>
    </row>
    <row r="388" spans="1:4" ht="22" x14ac:dyDescent="0.3">
      <c r="A388" s="3" t="s">
        <v>154</v>
      </c>
      <c r="B388" s="3" t="s">
        <v>15</v>
      </c>
      <c r="C388" s="4">
        <v>46223.213194444441</v>
      </c>
      <c r="D388" s="3" t="str">
        <f t="shared" si="6"/>
        <v>Segment A</v>
      </c>
    </row>
    <row r="389" spans="1:4" ht="22" x14ac:dyDescent="0.3">
      <c r="A389" s="3" t="s">
        <v>197</v>
      </c>
      <c r="B389" s="3" t="s">
        <v>15</v>
      </c>
      <c r="C389" s="4">
        <v>46223.191666666666</v>
      </c>
      <c r="D389" s="3" t="str">
        <f t="shared" si="6"/>
        <v>Segment B</v>
      </c>
    </row>
    <row r="390" spans="1:4" ht="22" x14ac:dyDescent="0.3">
      <c r="A390" s="3" t="s">
        <v>139</v>
      </c>
      <c r="B390" s="3" t="s">
        <v>5</v>
      </c>
      <c r="C390" s="4">
        <v>46223.161111111112</v>
      </c>
      <c r="D390" s="3" t="str">
        <f t="shared" si="6"/>
        <v>Segment A</v>
      </c>
    </row>
    <row r="391" spans="1:4" ht="22" x14ac:dyDescent="0.3">
      <c r="A391" s="3" t="s">
        <v>68</v>
      </c>
      <c r="B391" s="3" t="s">
        <v>12</v>
      </c>
      <c r="C391" s="4">
        <v>46223.189583333333</v>
      </c>
      <c r="D391" s="3" t="str">
        <f t="shared" si="6"/>
        <v>Segment B</v>
      </c>
    </row>
    <row r="392" spans="1:4" ht="22" x14ac:dyDescent="0.3">
      <c r="A392" s="3" t="s">
        <v>32</v>
      </c>
      <c r="B392" s="3" t="s">
        <v>1</v>
      </c>
      <c r="C392" s="4">
        <v>46223.177777777775</v>
      </c>
      <c r="D392" s="3" t="str">
        <f t="shared" si="6"/>
        <v>Segment B</v>
      </c>
    </row>
    <row r="393" spans="1:4" ht="22" x14ac:dyDescent="0.3">
      <c r="A393" s="3" t="s">
        <v>105</v>
      </c>
      <c r="B393" s="3" t="s">
        <v>1</v>
      </c>
      <c r="C393" s="4">
        <v>46223.17291666667</v>
      </c>
      <c r="D393" s="3" t="str">
        <f t="shared" si="6"/>
        <v>Segment A</v>
      </c>
    </row>
    <row r="394" spans="1:4" ht="22" x14ac:dyDescent="0.3">
      <c r="A394" s="3" t="s">
        <v>183</v>
      </c>
      <c r="B394" s="3" t="s">
        <v>5</v>
      </c>
      <c r="C394" s="4">
        <v>46223.147916666669</v>
      </c>
      <c r="D394" s="3" t="str">
        <f t="shared" si="6"/>
        <v>Segment B</v>
      </c>
    </row>
    <row r="395" spans="1:4" ht="22" x14ac:dyDescent="0.3">
      <c r="A395" s="3" t="s">
        <v>141</v>
      </c>
      <c r="B395" s="3" t="s">
        <v>3</v>
      </c>
      <c r="C395" s="4">
        <v>46223.18472222222</v>
      </c>
      <c r="D395" s="3" t="str">
        <f t="shared" si="6"/>
        <v>Segment B</v>
      </c>
    </row>
    <row r="396" spans="1:4" ht="22" x14ac:dyDescent="0.3">
      <c r="A396" s="3" t="s">
        <v>63</v>
      </c>
      <c r="B396" s="3" t="s">
        <v>12</v>
      </c>
      <c r="C396" s="4">
        <v>46223.192361111112</v>
      </c>
      <c r="D396" s="3" t="str">
        <f t="shared" si="6"/>
        <v>Segment B</v>
      </c>
    </row>
    <row r="397" spans="1:4" ht="22" x14ac:dyDescent="0.3">
      <c r="A397" s="3" t="s">
        <v>119</v>
      </c>
      <c r="B397" s="3" t="s">
        <v>5</v>
      </c>
      <c r="C397" s="4">
        <v>46223.159722222219</v>
      </c>
      <c r="D397" s="3" t="str">
        <f t="shared" si="6"/>
        <v>Segment B</v>
      </c>
    </row>
    <row r="398" spans="1:4" ht="22" x14ac:dyDescent="0.3">
      <c r="A398" s="3" t="s">
        <v>17</v>
      </c>
      <c r="B398" s="3" t="s">
        <v>1</v>
      </c>
      <c r="C398" s="4">
        <v>46223.179861111108</v>
      </c>
      <c r="D398" s="3" t="str">
        <f t="shared" si="6"/>
        <v>Segment A</v>
      </c>
    </row>
    <row r="399" spans="1:4" ht="22" x14ac:dyDescent="0.3">
      <c r="A399" s="3" t="s">
        <v>111</v>
      </c>
      <c r="B399" s="3" t="s">
        <v>15</v>
      </c>
      <c r="C399" s="4">
        <v>46223.213888888888</v>
      </c>
      <c r="D399" s="3" t="str">
        <f t="shared" si="6"/>
        <v>Segment B</v>
      </c>
    </row>
    <row r="400" spans="1:4" ht="22" x14ac:dyDescent="0.3">
      <c r="A400" s="3" t="s">
        <v>184</v>
      </c>
      <c r="B400" s="3" t="s">
        <v>3</v>
      </c>
      <c r="C400" s="4">
        <v>46223.1875</v>
      </c>
      <c r="D400" s="3" t="str">
        <f t="shared" si="6"/>
        <v>Segment A</v>
      </c>
    </row>
    <row r="401" spans="1:4" ht="22" x14ac:dyDescent="0.3">
      <c r="A401" s="3" t="s">
        <v>124</v>
      </c>
      <c r="B401" s="3" t="s">
        <v>5</v>
      </c>
      <c r="C401" s="4">
        <v>46223.154166666667</v>
      </c>
      <c r="D401" s="3" t="str">
        <f t="shared" si="6"/>
        <v>Segment B</v>
      </c>
    </row>
    <row r="402" spans="1:4" ht="22" x14ac:dyDescent="0.3">
      <c r="A402" s="3" t="s">
        <v>193</v>
      </c>
      <c r="B402" s="3" t="s">
        <v>3</v>
      </c>
      <c r="C402" s="4">
        <v>46223.176388888889</v>
      </c>
      <c r="D402" s="3" t="str">
        <f t="shared" si="6"/>
        <v>Segment A</v>
      </c>
    </row>
    <row r="403" spans="1:4" ht="22" x14ac:dyDescent="0.3">
      <c r="A403" s="3" t="s">
        <v>85</v>
      </c>
      <c r="B403" s="3" t="s">
        <v>1</v>
      </c>
      <c r="C403" s="4">
        <v>46223.17083333333</v>
      </c>
      <c r="D403" s="3" t="str">
        <f t="shared" si="6"/>
        <v>Segment B</v>
      </c>
    </row>
    <row r="404" spans="1:4" ht="22" x14ac:dyDescent="0.3">
      <c r="A404" s="3" t="s">
        <v>96</v>
      </c>
      <c r="B404" s="3" t="s">
        <v>1</v>
      </c>
      <c r="C404" s="4">
        <v>46223.175000000003</v>
      </c>
      <c r="D404" s="3" t="str">
        <f t="shared" si="6"/>
        <v>Segment A</v>
      </c>
    </row>
    <row r="405" spans="1:4" ht="22" x14ac:dyDescent="0.3">
      <c r="A405" s="3" t="s">
        <v>185</v>
      </c>
      <c r="B405" s="3" t="s">
        <v>1</v>
      </c>
      <c r="C405" s="4">
        <v>46223.183333333334</v>
      </c>
      <c r="D405" s="3" t="str">
        <f t="shared" si="6"/>
        <v>Segment B</v>
      </c>
    </row>
    <row r="406" spans="1:4" ht="22" x14ac:dyDescent="0.3">
      <c r="A406" s="3" t="s">
        <v>118</v>
      </c>
      <c r="B406" s="3" t="s">
        <v>5</v>
      </c>
      <c r="C406" s="4">
        <v>46223.170138888891</v>
      </c>
      <c r="D406" s="3" t="str">
        <f t="shared" si="6"/>
        <v>Segment A</v>
      </c>
    </row>
    <row r="407" spans="1:4" ht="22" x14ac:dyDescent="0.3">
      <c r="A407" s="3" t="s">
        <v>157</v>
      </c>
      <c r="B407" s="3" t="s">
        <v>5</v>
      </c>
      <c r="C407" s="4">
        <v>46223.17083333333</v>
      </c>
      <c r="D407" s="3" t="str">
        <f t="shared" si="6"/>
        <v>Segment A</v>
      </c>
    </row>
    <row r="408" spans="1:4" ht="22" x14ac:dyDescent="0.3">
      <c r="A408" s="3" t="s">
        <v>157</v>
      </c>
      <c r="B408" s="3" t="s">
        <v>3</v>
      </c>
      <c r="C408" s="4">
        <v>46223.166666666664</v>
      </c>
      <c r="D408" s="3" t="str">
        <f t="shared" si="6"/>
        <v>Segment A</v>
      </c>
    </row>
    <row r="409" spans="1:4" ht="22" x14ac:dyDescent="0.3">
      <c r="A409" s="3" t="s">
        <v>198</v>
      </c>
      <c r="B409" s="3" t="s">
        <v>1</v>
      </c>
      <c r="C409" s="4">
        <v>46223.160416666666</v>
      </c>
      <c r="D409" s="3" t="str">
        <f t="shared" si="6"/>
        <v>Segment B</v>
      </c>
    </row>
    <row r="410" spans="1:4" ht="22" x14ac:dyDescent="0.3">
      <c r="A410" s="3" t="s">
        <v>41</v>
      </c>
      <c r="B410" s="3" t="s">
        <v>1</v>
      </c>
      <c r="C410" s="4">
        <v>46223.175000000003</v>
      </c>
      <c r="D410" s="3" t="str">
        <f t="shared" si="6"/>
        <v>Segment B</v>
      </c>
    </row>
    <row r="411" spans="1:4" ht="22" x14ac:dyDescent="0.3">
      <c r="A411" s="3" t="s">
        <v>131</v>
      </c>
      <c r="B411" s="3" t="s">
        <v>1</v>
      </c>
      <c r="C411" s="4">
        <v>46223.174305555556</v>
      </c>
      <c r="D411" s="3" t="str">
        <f t="shared" si="6"/>
        <v>Segment A</v>
      </c>
    </row>
    <row r="412" spans="1:4" ht="22" x14ac:dyDescent="0.3">
      <c r="A412" s="3" t="s">
        <v>199</v>
      </c>
      <c r="B412" s="3" t="s">
        <v>1</v>
      </c>
      <c r="C412" s="4">
        <v>46223.156944444447</v>
      </c>
      <c r="D412" s="3" t="str">
        <f t="shared" si="6"/>
        <v>Segment A</v>
      </c>
    </row>
    <row r="413" spans="1:4" ht="22" x14ac:dyDescent="0.3">
      <c r="A413" s="3" t="s">
        <v>173</v>
      </c>
      <c r="B413" s="3" t="s">
        <v>1</v>
      </c>
      <c r="C413" s="4">
        <v>46223.181250000001</v>
      </c>
      <c r="D413" s="3" t="str">
        <f t="shared" si="6"/>
        <v>Segment B</v>
      </c>
    </row>
    <row r="414" spans="1:4" ht="22" x14ac:dyDescent="0.3">
      <c r="A414" s="3" t="s">
        <v>194</v>
      </c>
      <c r="B414" s="3" t="s">
        <v>1</v>
      </c>
      <c r="C414" s="4">
        <v>46223.161111111112</v>
      </c>
      <c r="D414" s="3" t="str">
        <f t="shared" si="6"/>
        <v>Segment B</v>
      </c>
    </row>
    <row r="415" spans="1:4" ht="22" x14ac:dyDescent="0.3">
      <c r="A415" s="3" t="s">
        <v>79</v>
      </c>
      <c r="B415" s="3" t="s">
        <v>1</v>
      </c>
      <c r="C415" s="4">
        <v>46223.173611111109</v>
      </c>
      <c r="D415" s="3" t="str">
        <f t="shared" si="6"/>
        <v>Segment A</v>
      </c>
    </row>
    <row r="416" spans="1:4" ht="22" x14ac:dyDescent="0.3">
      <c r="A416" s="3" t="s">
        <v>197</v>
      </c>
      <c r="B416" s="3" t="s">
        <v>1</v>
      </c>
      <c r="C416" s="4">
        <v>46223.178472222222</v>
      </c>
      <c r="D416" s="3" t="str">
        <f t="shared" si="6"/>
        <v>Segment B</v>
      </c>
    </row>
    <row r="417" spans="1:4" ht="22" x14ac:dyDescent="0.3">
      <c r="A417" s="3" t="s">
        <v>103</v>
      </c>
      <c r="B417" s="3" t="s">
        <v>3</v>
      </c>
      <c r="C417" s="4">
        <v>46223.188888888886</v>
      </c>
      <c r="D417" s="3" t="str">
        <f t="shared" si="6"/>
        <v>Segment A</v>
      </c>
    </row>
    <row r="418" spans="1:4" ht="22" x14ac:dyDescent="0.3">
      <c r="A418" s="3" t="s">
        <v>45</v>
      </c>
      <c r="B418" s="3" t="s">
        <v>5</v>
      </c>
      <c r="C418" s="4">
        <v>46223.151388888888</v>
      </c>
      <c r="D418" s="3" t="str">
        <f t="shared" si="6"/>
        <v>Segment B</v>
      </c>
    </row>
    <row r="419" spans="1:4" ht="22" x14ac:dyDescent="0.3">
      <c r="A419" s="3" t="s">
        <v>24</v>
      </c>
      <c r="B419" s="3" t="s">
        <v>5</v>
      </c>
      <c r="C419" s="4">
        <v>46223.172222222223</v>
      </c>
      <c r="D419" s="3" t="str">
        <f t="shared" si="6"/>
        <v>Segment B</v>
      </c>
    </row>
    <row r="420" spans="1:4" ht="22" x14ac:dyDescent="0.3">
      <c r="A420" s="3" t="s">
        <v>125</v>
      </c>
      <c r="B420" s="3" t="s">
        <v>3</v>
      </c>
      <c r="C420" s="4">
        <v>46223.193749999999</v>
      </c>
      <c r="D420" s="3" t="str">
        <f t="shared" si="6"/>
        <v>Segment B</v>
      </c>
    </row>
    <row r="421" spans="1:4" ht="22" x14ac:dyDescent="0.3">
      <c r="A421" s="3" t="s">
        <v>22</v>
      </c>
      <c r="B421" s="3" t="s">
        <v>12</v>
      </c>
      <c r="C421" s="4">
        <v>46223.192361111112</v>
      </c>
      <c r="D421" s="3" t="str">
        <f t="shared" si="6"/>
        <v>Segment B</v>
      </c>
    </row>
    <row r="422" spans="1:4" ht="22" x14ac:dyDescent="0.3">
      <c r="A422" s="3" t="s">
        <v>193</v>
      </c>
      <c r="B422" s="3" t="s">
        <v>5</v>
      </c>
      <c r="C422" s="4">
        <v>46223.171527777777</v>
      </c>
      <c r="D422" s="3" t="str">
        <f t="shared" si="6"/>
        <v>Segment A</v>
      </c>
    </row>
    <row r="423" spans="1:4" ht="22" x14ac:dyDescent="0.3">
      <c r="A423" s="3" t="s">
        <v>21</v>
      </c>
      <c r="B423" s="3" t="s">
        <v>1</v>
      </c>
      <c r="C423" s="4">
        <v>46223.163194444445</v>
      </c>
      <c r="D423" s="3" t="str">
        <f t="shared" si="6"/>
        <v>Segment A</v>
      </c>
    </row>
    <row r="424" spans="1:4" ht="22" x14ac:dyDescent="0.3">
      <c r="A424" s="3" t="s">
        <v>126</v>
      </c>
      <c r="B424" s="3" t="s">
        <v>1</v>
      </c>
      <c r="C424" s="4">
        <v>46223.161111111112</v>
      </c>
      <c r="D424" s="3" t="str">
        <f t="shared" si="6"/>
        <v>Segment A</v>
      </c>
    </row>
    <row r="425" spans="1:4" ht="22" x14ac:dyDescent="0.3">
      <c r="A425" s="3" t="s">
        <v>148</v>
      </c>
      <c r="B425" s="3" t="s">
        <v>3</v>
      </c>
      <c r="C425" s="4">
        <v>46223.191666666666</v>
      </c>
      <c r="D425" s="3" t="str">
        <f t="shared" si="6"/>
        <v>Segment B</v>
      </c>
    </row>
    <row r="426" spans="1:4" ht="22" x14ac:dyDescent="0.3">
      <c r="A426" s="3" t="s">
        <v>117</v>
      </c>
      <c r="B426" s="3" t="s">
        <v>1</v>
      </c>
      <c r="C426" s="4">
        <v>46223.175000000003</v>
      </c>
      <c r="D426" s="3" t="str">
        <f t="shared" si="6"/>
        <v>Segment A</v>
      </c>
    </row>
    <row r="427" spans="1:4" ht="22" x14ac:dyDescent="0.3">
      <c r="A427" s="3" t="s">
        <v>200</v>
      </c>
      <c r="B427" s="3" t="s">
        <v>12</v>
      </c>
      <c r="C427" s="4">
        <v>46223.183333333334</v>
      </c>
      <c r="D427" s="3" t="str">
        <f t="shared" si="6"/>
        <v>Segment A</v>
      </c>
    </row>
    <row r="428" spans="1:4" ht="22" x14ac:dyDescent="0.3">
      <c r="A428" s="3" t="s">
        <v>160</v>
      </c>
      <c r="B428" s="3" t="s">
        <v>12</v>
      </c>
      <c r="C428" s="4">
        <v>46223.180555555555</v>
      </c>
      <c r="D428" s="3" t="str">
        <f t="shared" si="6"/>
        <v>Segment B</v>
      </c>
    </row>
    <row r="429" spans="1:4" ht="22" x14ac:dyDescent="0.3">
      <c r="A429" s="3" t="s">
        <v>201</v>
      </c>
      <c r="B429" s="3" t="s">
        <v>3</v>
      </c>
      <c r="C429" s="4">
        <v>46223.185416666667</v>
      </c>
      <c r="D429" s="3" t="str">
        <f t="shared" si="6"/>
        <v>Segment B</v>
      </c>
    </row>
    <row r="430" spans="1:4" ht="22" x14ac:dyDescent="0.3">
      <c r="A430" s="3" t="s">
        <v>75</v>
      </c>
      <c r="B430" s="3" t="s">
        <v>3</v>
      </c>
      <c r="C430" s="4">
        <v>46223.168749999997</v>
      </c>
      <c r="D430" s="3" t="str">
        <f t="shared" si="6"/>
        <v>Segment B</v>
      </c>
    </row>
    <row r="431" spans="1:4" ht="22" x14ac:dyDescent="0.3">
      <c r="A431" s="3" t="s">
        <v>202</v>
      </c>
      <c r="B431" s="3" t="s">
        <v>3</v>
      </c>
      <c r="C431" s="4">
        <v>46223.19027777778</v>
      </c>
      <c r="D431" s="3" t="str">
        <f t="shared" si="6"/>
        <v>Segment A</v>
      </c>
    </row>
    <row r="432" spans="1:4" ht="22" x14ac:dyDescent="0.3">
      <c r="A432" s="3" t="s">
        <v>196</v>
      </c>
      <c r="B432" s="3" t="s">
        <v>5</v>
      </c>
      <c r="C432" s="4">
        <v>46223.17291666667</v>
      </c>
      <c r="D432" s="3" t="str">
        <f t="shared" si="6"/>
        <v>Segment B</v>
      </c>
    </row>
    <row r="433" spans="1:4" ht="22" x14ac:dyDescent="0.3">
      <c r="A433" s="3" t="s">
        <v>94</v>
      </c>
      <c r="B433" s="3" t="s">
        <v>1</v>
      </c>
      <c r="C433" s="4">
        <v>46223.165972222225</v>
      </c>
      <c r="D433" s="3" t="str">
        <f t="shared" si="6"/>
        <v>Segment B</v>
      </c>
    </row>
    <row r="434" spans="1:4" ht="22" x14ac:dyDescent="0.3">
      <c r="A434" s="3" t="s">
        <v>74</v>
      </c>
      <c r="B434" s="3" t="s">
        <v>3</v>
      </c>
      <c r="C434" s="4">
        <v>46223.168749999997</v>
      </c>
      <c r="D434" s="3" t="str">
        <f t="shared" si="6"/>
        <v>Segment A</v>
      </c>
    </row>
    <row r="435" spans="1:4" ht="22" x14ac:dyDescent="0.3">
      <c r="A435" s="3" t="s">
        <v>73</v>
      </c>
      <c r="B435" s="3" t="s">
        <v>1</v>
      </c>
      <c r="C435" s="4">
        <v>46223.172222222223</v>
      </c>
      <c r="D435" s="3" t="str">
        <f t="shared" si="6"/>
        <v>Segment B</v>
      </c>
    </row>
    <row r="436" spans="1:4" ht="22" x14ac:dyDescent="0.3">
      <c r="A436" s="3" t="s">
        <v>72</v>
      </c>
      <c r="B436" s="3" t="s">
        <v>3</v>
      </c>
      <c r="C436" s="4">
        <v>46223.182638888888</v>
      </c>
      <c r="D436" s="3" t="str">
        <f t="shared" si="6"/>
        <v>Segment A</v>
      </c>
    </row>
    <row r="437" spans="1:4" ht="22" x14ac:dyDescent="0.3">
      <c r="A437" s="3" t="s">
        <v>87</v>
      </c>
      <c r="B437" s="3" t="s">
        <v>5</v>
      </c>
      <c r="C437" s="4">
        <v>46223.152083333334</v>
      </c>
      <c r="D437" s="3" t="str">
        <f t="shared" si="6"/>
        <v>Segment A</v>
      </c>
    </row>
    <row r="438" spans="1:4" ht="22" x14ac:dyDescent="0.3">
      <c r="A438" s="3" t="s">
        <v>27</v>
      </c>
      <c r="B438" s="3" t="s">
        <v>5</v>
      </c>
      <c r="C438" s="4">
        <v>46223.161111111112</v>
      </c>
      <c r="D438" s="3" t="str">
        <f t="shared" si="6"/>
        <v>Segment A</v>
      </c>
    </row>
    <row r="439" spans="1:4" ht="22" x14ac:dyDescent="0.3">
      <c r="A439" s="3" t="s">
        <v>80</v>
      </c>
      <c r="B439" s="3" t="s">
        <v>5</v>
      </c>
      <c r="C439" s="4">
        <v>46223.17083333333</v>
      </c>
      <c r="D439" s="3" t="str">
        <f t="shared" si="6"/>
        <v>Segment B</v>
      </c>
    </row>
    <row r="440" spans="1:4" ht="22" x14ac:dyDescent="0.3">
      <c r="A440" s="3" t="s">
        <v>203</v>
      </c>
      <c r="B440" s="3" t="s">
        <v>3</v>
      </c>
      <c r="C440" s="4">
        <v>46223.176388888889</v>
      </c>
      <c r="D440" s="3" t="str">
        <f t="shared" si="6"/>
        <v>Segment B</v>
      </c>
    </row>
    <row r="441" spans="1:4" ht="22" x14ac:dyDescent="0.3">
      <c r="A441" s="3" t="s">
        <v>90</v>
      </c>
      <c r="B441" s="3" t="s">
        <v>5</v>
      </c>
      <c r="C441" s="4">
        <v>46223.148611111108</v>
      </c>
      <c r="D441" s="3" t="str">
        <f t="shared" si="6"/>
        <v>Segment A</v>
      </c>
    </row>
    <row r="442" spans="1:4" ht="22" x14ac:dyDescent="0.3">
      <c r="A442" s="3" t="s">
        <v>163</v>
      </c>
      <c r="B442" s="3" t="s">
        <v>5</v>
      </c>
      <c r="C442" s="4">
        <v>46223.151388888888</v>
      </c>
      <c r="D442" s="3" t="str">
        <f t="shared" si="6"/>
        <v>Segment B</v>
      </c>
    </row>
    <row r="443" spans="1:4" ht="22" x14ac:dyDescent="0.3">
      <c r="A443" s="3" t="s">
        <v>123</v>
      </c>
      <c r="B443" s="3" t="s">
        <v>5</v>
      </c>
      <c r="C443" s="4">
        <v>46223.152777777781</v>
      </c>
      <c r="D443" s="3" t="str">
        <f t="shared" si="6"/>
        <v>Segment A</v>
      </c>
    </row>
    <row r="444" spans="1:4" ht="22" x14ac:dyDescent="0.3">
      <c r="A444" s="3" t="s">
        <v>153</v>
      </c>
      <c r="B444" s="3" t="s">
        <v>5</v>
      </c>
      <c r="C444" s="4">
        <v>46223.145833333336</v>
      </c>
      <c r="D444" s="3" t="str">
        <f t="shared" si="6"/>
        <v>Segment A</v>
      </c>
    </row>
    <row r="445" spans="1:4" ht="22" x14ac:dyDescent="0.3">
      <c r="A445" s="3" t="s">
        <v>145</v>
      </c>
      <c r="B445" s="3" t="s">
        <v>15</v>
      </c>
      <c r="C445" s="4">
        <v>46223.197222222225</v>
      </c>
      <c r="D445" s="3" t="str">
        <f t="shared" si="6"/>
        <v>Segment A</v>
      </c>
    </row>
    <row r="446" spans="1:4" ht="22" x14ac:dyDescent="0.3">
      <c r="A446" s="3" t="s">
        <v>195</v>
      </c>
      <c r="B446" s="3" t="s">
        <v>5</v>
      </c>
      <c r="C446" s="4">
        <v>46223.163194444445</v>
      </c>
      <c r="D446" s="3" t="str">
        <f t="shared" si="6"/>
        <v>Segment B</v>
      </c>
    </row>
    <row r="447" spans="1:4" ht="22" x14ac:dyDescent="0.3">
      <c r="A447" s="3" t="s">
        <v>60</v>
      </c>
      <c r="B447" s="3" t="s">
        <v>5</v>
      </c>
      <c r="C447" s="4">
        <v>46223.147222222222</v>
      </c>
      <c r="D447" s="3" t="str">
        <f t="shared" si="6"/>
        <v>Segment B</v>
      </c>
    </row>
    <row r="448" spans="1:4" ht="22" x14ac:dyDescent="0.3">
      <c r="A448" s="3" t="s">
        <v>59</v>
      </c>
      <c r="B448" s="3" t="s">
        <v>5</v>
      </c>
      <c r="C448" s="4">
        <v>46223.151388888888</v>
      </c>
      <c r="D448" s="3" t="str">
        <f t="shared" si="6"/>
        <v>Segment A</v>
      </c>
    </row>
    <row r="449" spans="1:4" ht="22" x14ac:dyDescent="0.3">
      <c r="A449" s="3" t="s">
        <v>149</v>
      </c>
      <c r="B449" s="3" t="s">
        <v>1</v>
      </c>
      <c r="C449" s="4">
        <v>46223.179166666669</v>
      </c>
      <c r="D449" s="3" t="str">
        <f t="shared" si="6"/>
        <v>Segment B</v>
      </c>
    </row>
    <row r="450" spans="1:4" ht="22" x14ac:dyDescent="0.3">
      <c r="A450" s="3" t="s">
        <v>187</v>
      </c>
      <c r="B450" s="3" t="s">
        <v>3</v>
      </c>
      <c r="C450" s="4">
        <v>46223.190972222219</v>
      </c>
      <c r="D450" s="3" t="str">
        <f t="shared" ref="D450:D513" si="7">IF(VALUE(RIGHT(A450,1))&lt;=4,"Segment A","Segment B")</f>
        <v>Segment A</v>
      </c>
    </row>
    <row r="451" spans="1:4" ht="22" x14ac:dyDescent="0.3">
      <c r="A451" s="3" t="s">
        <v>165</v>
      </c>
      <c r="B451" s="3" t="s">
        <v>5</v>
      </c>
      <c r="C451" s="4">
        <v>46223.160416666666</v>
      </c>
      <c r="D451" s="3" t="str">
        <f t="shared" si="7"/>
        <v>Segment B</v>
      </c>
    </row>
    <row r="452" spans="1:4" ht="22" x14ac:dyDescent="0.3">
      <c r="A452" s="3" t="s">
        <v>59</v>
      </c>
      <c r="B452" s="3" t="s">
        <v>15</v>
      </c>
      <c r="C452" s="4">
        <v>46223.192361111112</v>
      </c>
      <c r="D452" s="3" t="str">
        <f t="shared" si="7"/>
        <v>Segment A</v>
      </c>
    </row>
    <row r="453" spans="1:4" ht="22" x14ac:dyDescent="0.3">
      <c r="A453" s="3" t="s">
        <v>93</v>
      </c>
      <c r="B453" s="3" t="s">
        <v>12</v>
      </c>
      <c r="C453" s="4">
        <v>46223.197222222225</v>
      </c>
      <c r="D453" s="3" t="str">
        <f t="shared" si="7"/>
        <v>Segment A</v>
      </c>
    </row>
    <row r="454" spans="1:4" ht="22" x14ac:dyDescent="0.3">
      <c r="A454" s="3" t="s">
        <v>89</v>
      </c>
      <c r="B454" s="3" t="s">
        <v>1</v>
      </c>
      <c r="C454" s="4">
        <v>46223.166666666664</v>
      </c>
      <c r="D454" s="3" t="str">
        <f t="shared" si="7"/>
        <v>Segment B</v>
      </c>
    </row>
    <row r="455" spans="1:4" ht="22" x14ac:dyDescent="0.3">
      <c r="A455" s="3" t="s">
        <v>31</v>
      </c>
      <c r="B455" s="3" t="s">
        <v>5</v>
      </c>
      <c r="C455" s="4">
        <v>46223.148611111108</v>
      </c>
      <c r="D455" s="3" t="str">
        <f t="shared" si="7"/>
        <v>Segment B</v>
      </c>
    </row>
    <row r="456" spans="1:4" ht="22" x14ac:dyDescent="0.3">
      <c r="A456" s="3" t="s">
        <v>78</v>
      </c>
      <c r="B456" s="3" t="s">
        <v>5</v>
      </c>
      <c r="C456" s="4">
        <v>46223.148611111108</v>
      </c>
      <c r="D456" s="3" t="str">
        <f t="shared" si="7"/>
        <v>Segment B</v>
      </c>
    </row>
    <row r="457" spans="1:4" ht="22" x14ac:dyDescent="0.3">
      <c r="A457" s="3" t="s">
        <v>120</v>
      </c>
      <c r="B457" s="3" t="s">
        <v>5</v>
      </c>
      <c r="C457" s="4">
        <v>46223.166666666664</v>
      </c>
      <c r="D457" s="3" t="str">
        <f t="shared" si="7"/>
        <v>Segment A</v>
      </c>
    </row>
    <row r="458" spans="1:4" ht="22" x14ac:dyDescent="0.3">
      <c r="A458" s="3" t="s">
        <v>192</v>
      </c>
      <c r="B458" s="3" t="s">
        <v>1</v>
      </c>
      <c r="C458" s="4">
        <v>46223.181250000001</v>
      </c>
      <c r="D458" s="3" t="str">
        <f t="shared" si="7"/>
        <v>Segment B</v>
      </c>
    </row>
    <row r="459" spans="1:4" ht="22" x14ac:dyDescent="0.3">
      <c r="A459" s="3" t="s">
        <v>52</v>
      </c>
      <c r="B459" s="3" t="s">
        <v>1</v>
      </c>
      <c r="C459" s="4">
        <v>46223.176388888889</v>
      </c>
      <c r="D459" s="3" t="str">
        <f t="shared" si="7"/>
        <v>Segment A</v>
      </c>
    </row>
    <row r="460" spans="1:4" ht="22" x14ac:dyDescent="0.3">
      <c r="A460" s="3" t="s">
        <v>197</v>
      </c>
      <c r="B460" s="3" t="s">
        <v>5</v>
      </c>
      <c r="C460" s="4">
        <v>46223.145833333336</v>
      </c>
      <c r="D460" s="3" t="str">
        <f t="shared" si="7"/>
        <v>Segment B</v>
      </c>
    </row>
    <row r="461" spans="1:4" ht="22" x14ac:dyDescent="0.3">
      <c r="A461" s="3" t="s">
        <v>171</v>
      </c>
      <c r="B461" s="3" t="s">
        <v>3</v>
      </c>
      <c r="C461" s="4">
        <v>46223.188888888886</v>
      </c>
      <c r="D461" s="3" t="str">
        <f t="shared" si="7"/>
        <v>Segment B</v>
      </c>
    </row>
    <row r="462" spans="1:4" ht="22" x14ac:dyDescent="0.3">
      <c r="A462" s="3" t="s">
        <v>41</v>
      </c>
      <c r="B462" s="3" t="s">
        <v>12</v>
      </c>
      <c r="C462" s="4">
        <v>46223.186111111114</v>
      </c>
      <c r="D462" s="3" t="str">
        <f t="shared" si="7"/>
        <v>Segment B</v>
      </c>
    </row>
    <row r="463" spans="1:4" ht="22" x14ac:dyDescent="0.3">
      <c r="A463" s="3" t="s">
        <v>166</v>
      </c>
      <c r="B463" s="3" t="s">
        <v>12</v>
      </c>
      <c r="C463" s="4">
        <v>46223.199999999997</v>
      </c>
      <c r="D463" s="3" t="str">
        <f t="shared" si="7"/>
        <v>Segment A</v>
      </c>
    </row>
    <row r="464" spans="1:4" ht="22" x14ac:dyDescent="0.3">
      <c r="A464" s="3" t="s">
        <v>182</v>
      </c>
      <c r="B464" s="3" t="s">
        <v>3</v>
      </c>
      <c r="C464" s="4">
        <v>46223.1875</v>
      </c>
      <c r="D464" s="3" t="str">
        <f t="shared" si="7"/>
        <v>Segment A</v>
      </c>
    </row>
    <row r="465" spans="1:4" ht="22" x14ac:dyDescent="0.3">
      <c r="A465" s="3" t="s">
        <v>64</v>
      </c>
      <c r="B465" s="3" t="s">
        <v>1</v>
      </c>
      <c r="C465" s="4">
        <v>46223.170138888891</v>
      </c>
      <c r="D465" s="3" t="str">
        <f t="shared" si="7"/>
        <v>Segment A</v>
      </c>
    </row>
    <row r="466" spans="1:4" ht="22" x14ac:dyDescent="0.3">
      <c r="A466" s="3" t="s">
        <v>24</v>
      </c>
      <c r="B466" s="3" t="s">
        <v>12</v>
      </c>
      <c r="C466" s="4">
        <v>46223.186111111114</v>
      </c>
      <c r="D466" s="3" t="str">
        <f t="shared" si="7"/>
        <v>Segment B</v>
      </c>
    </row>
    <row r="467" spans="1:4" ht="22" x14ac:dyDescent="0.3">
      <c r="A467" s="3" t="s">
        <v>48</v>
      </c>
      <c r="B467" s="3" t="s">
        <v>1</v>
      </c>
      <c r="C467" s="4">
        <v>46223.180555555555</v>
      </c>
      <c r="D467" s="3" t="str">
        <f t="shared" si="7"/>
        <v>Segment A</v>
      </c>
    </row>
    <row r="468" spans="1:4" ht="22" x14ac:dyDescent="0.3">
      <c r="A468" s="3" t="s">
        <v>204</v>
      </c>
      <c r="B468" s="3" t="s">
        <v>5</v>
      </c>
      <c r="C468" s="4">
        <v>46223.166666666664</v>
      </c>
      <c r="D468" s="3" t="str">
        <f t="shared" si="7"/>
        <v>Segment A</v>
      </c>
    </row>
    <row r="469" spans="1:4" ht="22" x14ac:dyDescent="0.3">
      <c r="A469" s="3" t="s">
        <v>198</v>
      </c>
      <c r="B469" s="3" t="s">
        <v>12</v>
      </c>
      <c r="C469" s="4">
        <v>46223.1875</v>
      </c>
      <c r="D469" s="3" t="str">
        <f t="shared" si="7"/>
        <v>Segment B</v>
      </c>
    </row>
    <row r="470" spans="1:4" ht="22" x14ac:dyDescent="0.3">
      <c r="A470" s="3" t="s">
        <v>204</v>
      </c>
      <c r="B470" s="3" t="s">
        <v>3</v>
      </c>
      <c r="C470" s="4">
        <v>46223.17083333333</v>
      </c>
      <c r="D470" s="3" t="str">
        <f t="shared" si="7"/>
        <v>Segment A</v>
      </c>
    </row>
    <row r="471" spans="1:4" ht="22" x14ac:dyDescent="0.3">
      <c r="A471" s="3" t="s">
        <v>4</v>
      </c>
      <c r="B471" s="3" t="s">
        <v>12</v>
      </c>
      <c r="C471" s="4">
        <v>46223.1875</v>
      </c>
      <c r="D471" s="3" t="str">
        <f t="shared" si="7"/>
        <v>Segment A</v>
      </c>
    </row>
    <row r="472" spans="1:4" ht="22" x14ac:dyDescent="0.3">
      <c r="A472" s="3" t="s">
        <v>167</v>
      </c>
      <c r="B472" s="3" t="s">
        <v>3</v>
      </c>
      <c r="C472" s="4">
        <v>46223.190972222219</v>
      </c>
      <c r="D472" s="3" t="str">
        <f t="shared" si="7"/>
        <v>Segment B</v>
      </c>
    </row>
    <row r="473" spans="1:4" ht="22" x14ac:dyDescent="0.3">
      <c r="A473" s="3" t="s">
        <v>203</v>
      </c>
      <c r="B473" s="3" t="s">
        <v>5</v>
      </c>
      <c r="C473" s="4">
        <v>46223.169444444444</v>
      </c>
      <c r="D473" s="3" t="str">
        <f t="shared" si="7"/>
        <v>Segment B</v>
      </c>
    </row>
    <row r="474" spans="1:4" ht="22" x14ac:dyDescent="0.3">
      <c r="A474" s="3" t="s">
        <v>140</v>
      </c>
      <c r="B474" s="3" t="s">
        <v>15</v>
      </c>
      <c r="C474" s="4">
        <v>46223.193055555559</v>
      </c>
      <c r="D474" s="3" t="str">
        <f t="shared" si="7"/>
        <v>Segment B</v>
      </c>
    </row>
    <row r="475" spans="1:4" ht="22" x14ac:dyDescent="0.3">
      <c r="A475" s="3" t="s">
        <v>0</v>
      </c>
      <c r="B475" s="3" t="s">
        <v>15</v>
      </c>
      <c r="C475" s="4">
        <v>46223.199305555558</v>
      </c>
      <c r="D475" s="3" t="str">
        <f t="shared" si="7"/>
        <v>Segment A</v>
      </c>
    </row>
    <row r="476" spans="1:4" ht="22" x14ac:dyDescent="0.3">
      <c r="A476" s="3" t="s">
        <v>180</v>
      </c>
      <c r="B476" s="3" t="s">
        <v>15</v>
      </c>
      <c r="C476" s="4">
        <v>46223.191666666666</v>
      </c>
      <c r="D476" s="3" t="str">
        <f t="shared" si="7"/>
        <v>Segment A</v>
      </c>
    </row>
    <row r="477" spans="1:4" ht="22" x14ac:dyDescent="0.3">
      <c r="A477" s="3" t="s">
        <v>101</v>
      </c>
      <c r="B477" s="3" t="s">
        <v>5</v>
      </c>
      <c r="C477" s="4">
        <v>46223.151388888888</v>
      </c>
      <c r="D477" s="3" t="str">
        <f t="shared" si="7"/>
        <v>Segment A</v>
      </c>
    </row>
    <row r="478" spans="1:4" ht="22" x14ac:dyDescent="0.3">
      <c r="A478" s="3" t="s">
        <v>172</v>
      </c>
      <c r="B478" s="3" t="s">
        <v>1</v>
      </c>
      <c r="C478" s="4">
        <v>46223.165972222225</v>
      </c>
      <c r="D478" s="3" t="str">
        <f t="shared" si="7"/>
        <v>Segment A</v>
      </c>
    </row>
    <row r="479" spans="1:4" ht="22" x14ac:dyDescent="0.3">
      <c r="A479" s="3" t="s">
        <v>118</v>
      </c>
      <c r="B479" s="3" t="s">
        <v>12</v>
      </c>
      <c r="C479" s="4">
        <v>46223.186111111114</v>
      </c>
      <c r="D479" s="3" t="str">
        <f t="shared" si="7"/>
        <v>Segment A</v>
      </c>
    </row>
    <row r="480" spans="1:4" ht="22" x14ac:dyDescent="0.3">
      <c r="A480" s="3" t="s">
        <v>198</v>
      </c>
      <c r="B480" s="3" t="s">
        <v>5</v>
      </c>
      <c r="C480" s="4">
        <v>46223.165972222225</v>
      </c>
      <c r="D480" s="3" t="str">
        <f t="shared" si="7"/>
        <v>Segment B</v>
      </c>
    </row>
    <row r="481" spans="1:4" ht="22" x14ac:dyDescent="0.3">
      <c r="A481" s="3" t="s">
        <v>52</v>
      </c>
      <c r="B481" s="3" t="s">
        <v>15</v>
      </c>
      <c r="C481" s="4">
        <v>46223.191666666666</v>
      </c>
      <c r="D481" s="3" t="str">
        <f t="shared" si="7"/>
        <v>Segment A</v>
      </c>
    </row>
    <row r="482" spans="1:4" ht="22" x14ac:dyDescent="0.3">
      <c r="A482" s="3" t="s">
        <v>38</v>
      </c>
      <c r="B482" s="3" t="s">
        <v>5</v>
      </c>
      <c r="C482" s="4">
        <v>46223.154861111114</v>
      </c>
      <c r="D482" s="3" t="str">
        <f t="shared" si="7"/>
        <v>Segment B</v>
      </c>
    </row>
    <row r="483" spans="1:4" ht="22" x14ac:dyDescent="0.3">
      <c r="A483" s="3" t="s">
        <v>117</v>
      </c>
      <c r="B483" s="3" t="s">
        <v>15</v>
      </c>
      <c r="C483" s="4">
        <v>46223.202777777777</v>
      </c>
      <c r="D483" s="3" t="str">
        <f t="shared" si="7"/>
        <v>Segment A</v>
      </c>
    </row>
    <row r="484" spans="1:4" ht="22" x14ac:dyDescent="0.3">
      <c r="A484" s="3" t="s">
        <v>179</v>
      </c>
      <c r="B484" s="3" t="s">
        <v>15</v>
      </c>
      <c r="C484" s="4">
        <v>46223.214583333334</v>
      </c>
      <c r="D484" s="3" t="str">
        <f t="shared" si="7"/>
        <v>Segment B</v>
      </c>
    </row>
    <row r="485" spans="1:4" ht="22" x14ac:dyDescent="0.3">
      <c r="A485" s="3" t="s">
        <v>82</v>
      </c>
      <c r="B485" s="3" t="s">
        <v>1</v>
      </c>
      <c r="C485" s="4">
        <v>46223.160416666666</v>
      </c>
      <c r="D485" s="3" t="str">
        <f t="shared" si="7"/>
        <v>Segment A</v>
      </c>
    </row>
    <row r="486" spans="1:4" ht="22" x14ac:dyDescent="0.3">
      <c r="A486" s="3" t="s">
        <v>73</v>
      </c>
      <c r="B486" s="3" t="s">
        <v>5</v>
      </c>
      <c r="C486" s="4">
        <v>46223.150694444441</v>
      </c>
      <c r="D486" s="3" t="str">
        <f t="shared" si="7"/>
        <v>Segment B</v>
      </c>
    </row>
    <row r="487" spans="1:4" ht="22" x14ac:dyDescent="0.3">
      <c r="A487" s="3" t="s">
        <v>95</v>
      </c>
      <c r="B487" s="3" t="s">
        <v>12</v>
      </c>
      <c r="C487" s="4">
        <v>46223.199999999997</v>
      </c>
      <c r="D487" s="3" t="str">
        <f t="shared" si="7"/>
        <v>Segment A</v>
      </c>
    </row>
    <row r="488" spans="1:4" ht="22" x14ac:dyDescent="0.3">
      <c r="A488" s="3" t="s">
        <v>135</v>
      </c>
      <c r="B488" s="3" t="s">
        <v>12</v>
      </c>
      <c r="C488" s="4">
        <v>46223.201388888891</v>
      </c>
      <c r="D488" s="3" t="str">
        <f t="shared" si="7"/>
        <v>Segment B</v>
      </c>
    </row>
    <row r="489" spans="1:4" ht="22" x14ac:dyDescent="0.3">
      <c r="A489" s="3" t="s">
        <v>29</v>
      </c>
      <c r="B489" s="3" t="s">
        <v>12</v>
      </c>
      <c r="C489" s="4">
        <v>46223.1875</v>
      </c>
      <c r="D489" s="3" t="str">
        <f t="shared" si="7"/>
        <v>Segment A</v>
      </c>
    </row>
    <row r="490" spans="1:4" ht="22" x14ac:dyDescent="0.3">
      <c r="A490" s="3" t="s">
        <v>39</v>
      </c>
      <c r="B490" s="3" t="s">
        <v>12</v>
      </c>
      <c r="C490" s="4">
        <v>46223.182638888888</v>
      </c>
      <c r="D490" s="3" t="str">
        <f t="shared" si="7"/>
        <v>Segment B</v>
      </c>
    </row>
    <row r="491" spans="1:4" ht="22" x14ac:dyDescent="0.3">
      <c r="A491" s="3" t="s">
        <v>61</v>
      </c>
      <c r="B491" s="3" t="s">
        <v>12</v>
      </c>
      <c r="C491" s="4">
        <v>46223.180555555555</v>
      </c>
      <c r="D491" s="3" t="str">
        <f t="shared" si="7"/>
        <v>Segment B</v>
      </c>
    </row>
    <row r="492" spans="1:4" ht="22" x14ac:dyDescent="0.3">
      <c r="A492" s="3" t="s">
        <v>190</v>
      </c>
      <c r="B492" s="3" t="s">
        <v>12</v>
      </c>
      <c r="C492" s="4">
        <v>46223.181250000001</v>
      </c>
      <c r="D492" s="3" t="str">
        <f t="shared" si="7"/>
        <v>Segment A</v>
      </c>
    </row>
    <row r="493" spans="1:4" ht="22" x14ac:dyDescent="0.3">
      <c r="A493" s="3" t="s">
        <v>81</v>
      </c>
      <c r="B493" s="3" t="s">
        <v>15</v>
      </c>
      <c r="C493" s="4">
        <v>46223.199305555558</v>
      </c>
      <c r="D493" s="3" t="str">
        <f t="shared" si="7"/>
        <v>Segment A</v>
      </c>
    </row>
    <row r="494" spans="1:4" ht="22" x14ac:dyDescent="0.3">
      <c r="A494" s="3" t="s">
        <v>132</v>
      </c>
      <c r="B494" s="3" t="s">
        <v>5</v>
      </c>
      <c r="C494" s="4">
        <v>46223.167361111111</v>
      </c>
      <c r="D494" s="3" t="str">
        <f t="shared" si="7"/>
        <v>Segment A</v>
      </c>
    </row>
    <row r="495" spans="1:4" ht="22" x14ac:dyDescent="0.3">
      <c r="A495" s="3" t="s">
        <v>6</v>
      </c>
      <c r="B495" s="3" t="s">
        <v>12</v>
      </c>
      <c r="C495" s="4">
        <v>46223.195138888892</v>
      </c>
      <c r="D495" s="3" t="str">
        <f t="shared" si="7"/>
        <v>Segment B</v>
      </c>
    </row>
    <row r="496" spans="1:4" ht="22" x14ac:dyDescent="0.3">
      <c r="A496" s="3" t="s">
        <v>30</v>
      </c>
      <c r="B496" s="3" t="s">
        <v>5</v>
      </c>
      <c r="C496" s="4">
        <v>46223.165972222225</v>
      </c>
      <c r="D496" s="3" t="str">
        <f t="shared" si="7"/>
        <v>Segment A</v>
      </c>
    </row>
    <row r="497" spans="1:4" ht="22" x14ac:dyDescent="0.3">
      <c r="A497" s="3" t="s">
        <v>102</v>
      </c>
      <c r="B497" s="3" t="s">
        <v>15</v>
      </c>
      <c r="C497" s="4">
        <v>46223.20416666667</v>
      </c>
      <c r="D497" s="3" t="str">
        <f t="shared" si="7"/>
        <v>Segment B</v>
      </c>
    </row>
    <row r="498" spans="1:4" ht="22" x14ac:dyDescent="0.3">
      <c r="A498" s="3" t="s">
        <v>65</v>
      </c>
      <c r="B498" s="3" t="s">
        <v>5</v>
      </c>
      <c r="C498" s="4">
        <v>46223.169444444444</v>
      </c>
      <c r="D498" s="3" t="str">
        <f t="shared" si="7"/>
        <v>Segment A</v>
      </c>
    </row>
    <row r="499" spans="1:4" ht="22" x14ac:dyDescent="0.3">
      <c r="A499" s="3" t="s">
        <v>194</v>
      </c>
      <c r="B499" s="3" t="s">
        <v>15</v>
      </c>
      <c r="C499" s="4">
        <v>46223.209027777775</v>
      </c>
      <c r="D499" s="3" t="str">
        <f t="shared" si="7"/>
        <v>Segment B</v>
      </c>
    </row>
    <row r="500" spans="1:4" ht="22" x14ac:dyDescent="0.3">
      <c r="A500" s="3" t="s">
        <v>42</v>
      </c>
      <c r="B500" s="3" t="s">
        <v>12</v>
      </c>
      <c r="C500" s="4">
        <v>46223.180555555555</v>
      </c>
      <c r="D500" s="3" t="str">
        <f t="shared" si="7"/>
        <v>Segment A</v>
      </c>
    </row>
    <row r="501" spans="1:4" ht="22" x14ac:dyDescent="0.3">
      <c r="A501" s="3" t="s">
        <v>110</v>
      </c>
      <c r="B501" s="3" t="s">
        <v>12</v>
      </c>
      <c r="C501" s="4">
        <v>46223.180555555555</v>
      </c>
      <c r="D501" s="3" t="str">
        <f t="shared" si="7"/>
        <v>Segment A</v>
      </c>
    </row>
    <row r="502" spans="1:4" ht="22" x14ac:dyDescent="0.3">
      <c r="A502" s="3" t="s">
        <v>56</v>
      </c>
      <c r="B502" s="3" t="s">
        <v>1</v>
      </c>
      <c r="C502" s="4">
        <v>46223.177777777775</v>
      </c>
      <c r="D502" s="3" t="str">
        <f t="shared" si="7"/>
        <v>Segment B</v>
      </c>
    </row>
    <row r="503" spans="1:4" ht="22" x14ac:dyDescent="0.3">
      <c r="A503" s="3" t="s">
        <v>40</v>
      </c>
      <c r="B503" s="3" t="s">
        <v>15</v>
      </c>
      <c r="C503" s="4">
        <v>46223.203472222223</v>
      </c>
      <c r="D503" s="3" t="str">
        <f t="shared" si="7"/>
        <v>Segment B</v>
      </c>
    </row>
    <row r="504" spans="1:4" ht="22" x14ac:dyDescent="0.3">
      <c r="A504" s="3" t="s">
        <v>102</v>
      </c>
      <c r="B504" s="3" t="s">
        <v>5</v>
      </c>
      <c r="C504" s="4">
        <v>46223.15</v>
      </c>
      <c r="D504" s="3" t="str">
        <f t="shared" si="7"/>
        <v>Segment B</v>
      </c>
    </row>
    <row r="505" spans="1:4" ht="22" x14ac:dyDescent="0.3">
      <c r="A505" s="3" t="s">
        <v>192</v>
      </c>
      <c r="B505" s="3" t="s">
        <v>5</v>
      </c>
      <c r="C505" s="4">
        <v>46223.154166666667</v>
      </c>
      <c r="D505" s="3" t="str">
        <f t="shared" si="7"/>
        <v>Segment B</v>
      </c>
    </row>
    <row r="506" spans="1:4" ht="22" x14ac:dyDescent="0.3">
      <c r="A506" s="3" t="s">
        <v>37</v>
      </c>
      <c r="B506" s="3" t="s">
        <v>1</v>
      </c>
      <c r="C506" s="4">
        <v>46223.177777777775</v>
      </c>
      <c r="D506" s="3" t="str">
        <f t="shared" si="7"/>
        <v>Segment B</v>
      </c>
    </row>
    <row r="507" spans="1:4" ht="22" x14ac:dyDescent="0.3">
      <c r="A507" s="3" t="s">
        <v>185</v>
      </c>
      <c r="B507" s="3" t="s">
        <v>15</v>
      </c>
      <c r="C507" s="4">
        <v>46223.193055555559</v>
      </c>
      <c r="D507" s="3" t="str">
        <f t="shared" si="7"/>
        <v>Segment B</v>
      </c>
    </row>
    <row r="508" spans="1:4" ht="22" x14ac:dyDescent="0.3">
      <c r="A508" s="3" t="s">
        <v>180</v>
      </c>
      <c r="B508" s="3" t="s">
        <v>5</v>
      </c>
      <c r="C508" s="4">
        <v>46223.169444444444</v>
      </c>
      <c r="D508" s="3" t="str">
        <f t="shared" si="7"/>
        <v>Segment A</v>
      </c>
    </row>
    <row r="509" spans="1:4" ht="22" x14ac:dyDescent="0.3">
      <c r="A509" s="3" t="s">
        <v>53</v>
      </c>
      <c r="B509" s="3" t="s">
        <v>5</v>
      </c>
      <c r="C509" s="4">
        <v>46223.152777777781</v>
      </c>
      <c r="D509" s="3" t="str">
        <f t="shared" si="7"/>
        <v>Segment A</v>
      </c>
    </row>
    <row r="510" spans="1:4" ht="22" x14ac:dyDescent="0.3">
      <c r="A510" s="3" t="s">
        <v>203</v>
      </c>
      <c r="B510" s="3" t="s">
        <v>1</v>
      </c>
      <c r="C510" s="4">
        <v>46223.180555555555</v>
      </c>
      <c r="D510" s="3" t="str">
        <f t="shared" si="7"/>
        <v>Segment B</v>
      </c>
    </row>
    <row r="511" spans="1:4" ht="22" x14ac:dyDescent="0.3">
      <c r="A511" s="3" t="s">
        <v>200</v>
      </c>
      <c r="B511" s="3" t="s">
        <v>1</v>
      </c>
      <c r="C511" s="4">
        <v>46223.168055555558</v>
      </c>
      <c r="D511" s="3" t="str">
        <f t="shared" si="7"/>
        <v>Segment A</v>
      </c>
    </row>
    <row r="512" spans="1:4" ht="22" x14ac:dyDescent="0.3">
      <c r="A512" s="3" t="s">
        <v>186</v>
      </c>
      <c r="B512" s="3" t="s">
        <v>5</v>
      </c>
      <c r="C512" s="4">
        <v>46223.172222222223</v>
      </c>
      <c r="D512" s="3" t="str">
        <f t="shared" si="7"/>
        <v>Segment A</v>
      </c>
    </row>
    <row r="513" spans="1:4" ht="22" x14ac:dyDescent="0.3">
      <c r="A513" s="3" t="s">
        <v>190</v>
      </c>
      <c r="B513" s="3" t="s">
        <v>1</v>
      </c>
      <c r="C513" s="4">
        <v>46223.160416666666</v>
      </c>
      <c r="D513" s="3" t="str">
        <f t="shared" si="7"/>
        <v>Segment A</v>
      </c>
    </row>
    <row r="514" spans="1:4" ht="22" x14ac:dyDescent="0.3">
      <c r="A514" s="3" t="s">
        <v>54</v>
      </c>
      <c r="B514" s="3" t="s">
        <v>5</v>
      </c>
      <c r="C514" s="4">
        <v>46223.145833333336</v>
      </c>
      <c r="D514" s="3" t="str">
        <f t="shared" ref="D514:D543" si="8">IF(VALUE(RIGHT(A514,1))&lt;=4,"Segment A","Segment B")</f>
        <v>Segment A</v>
      </c>
    </row>
    <row r="515" spans="1:4" ht="22" x14ac:dyDescent="0.3">
      <c r="A515" s="3" t="s">
        <v>152</v>
      </c>
      <c r="B515" s="3" t="s">
        <v>5</v>
      </c>
      <c r="C515" s="4">
        <v>46223.167361111111</v>
      </c>
      <c r="D515" s="3" t="str">
        <f t="shared" si="8"/>
        <v>Segment B</v>
      </c>
    </row>
    <row r="516" spans="1:4" ht="22" x14ac:dyDescent="0.3">
      <c r="A516" s="3" t="s">
        <v>35</v>
      </c>
      <c r="B516" s="3" t="s">
        <v>1</v>
      </c>
      <c r="C516" s="4">
        <v>46223.174305555556</v>
      </c>
      <c r="D516" s="3" t="str">
        <f t="shared" si="8"/>
        <v>Segment A</v>
      </c>
    </row>
    <row r="517" spans="1:4" ht="22" x14ac:dyDescent="0.3">
      <c r="A517" s="3" t="s">
        <v>200</v>
      </c>
      <c r="B517" s="3" t="s">
        <v>5</v>
      </c>
      <c r="C517" s="4">
        <v>46223.15902777778</v>
      </c>
      <c r="D517" s="3" t="str">
        <f t="shared" si="8"/>
        <v>Segment A</v>
      </c>
    </row>
    <row r="518" spans="1:4" ht="22" x14ac:dyDescent="0.3">
      <c r="A518" s="3" t="s">
        <v>173</v>
      </c>
      <c r="B518" s="3" t="s">
        <v>5</v>
      </c>
      <c r="C518" s="4">
        <v>46223.15347222222</v>
      </c>
      <c r="D518" s="3" t="str">
        <f t="shared" si="8"/>
        <v>Segment B</v>
      </c>
    </row>
    <row r="519" spans="1:4" ht="22" x14ac:dyDescent="0.3">
      <c r="A519" s="3" t="s">
        <v>195</v>
      </c>
      <c r="B519" s="3" t="s">
        <v>1</v>
      </c>
      <c r="C519" s="4">
        <v>46223.17083333333</v>
      </c>
      <c r="D519" s="3" t="str">
        <f t="shared" si="8"/>
        <v>Segment B</v>
      </c>
    </row>
    <row r="520" spans="1:4" ht="22" x14ac:dyDescent="0.3">
      <c r="A520" s="3" t="s">
        <v>146</v>
      </c>
      <c r="B520" s="3" t="s">
        <v>5</v>
      </c>
      <c r="C520" s="4">
        <v>46223.160416666666</v>
      </c>
      <c r="D520" s="3" t="str">
        <f t="shared" si="8"/>
        <v>Segment B</v>
      </c>
    </row>
    <row r="521" spans="1:4" ht="22" x14ac:dyDescent="0.3">
      <c r="A521" s="3" t="s">
        <v>19</v>
      </c>
      <c r="B521" s="3" t="s">
        <v>5</v>
      </c>
      <c r="C521" s="4">
        <v>46223.152083333334</v>
      </c>
      <c r="D521" s="3" t="str">
        <f t="shared" si="8"/>
        <v>Segment A</v>
      </c>
    </row>
    <row r="522" spans="1:4" ht="22" x14ac:dyDescent="0.3">
      <c r="A522" s="3" t="s">
        <v>56</v>
      </c>
      <c r="B522" s="3" t="s">
        <v>5</v>
      </c>
      <c r="C522" s="4">
        <v>46223.161111111112</v>
      </c>
      <c r="D522" s="3" t="str">
        <f t="shared" si="8"/>
        <v>Segment B</v>
      </c>
    </row>
    <row r="523" spans="1:4" ht="22" x14ac:dyDescent="0.3">
      <c r="A523" s="3" t="s">
        <v>129</v>
      </c>
      <c r="B523" s="3" t="s">
        <v>5</v>
      </c>
      <c r="C523" s="4">
        <v>46223.149305555555</v>
      </c>
      <c r="D523" s="3" t="str">
        <f t="shared" si="8"/>
        <v>Segment B</v>
      </c>
    </row>
    <row r="524" spans="1:4" ht="22" x14ac:dyDescent="0.3">
      <c r="A524" s="3" t="s">
        <v>155</v>
      </c>
      <c r="B524" s="3" t="s">
        <v>5</v>
      </c>
      <c r="C524" s="4">
        <v>46223.167361111111</v>
      </c>
      <c r="D524" s="3" t="str">
        <f t="shared" si="8"/>
        <v>Segment B</v>
      </c>
    </row>
    <row r="525" spans="1:4" ht="22" x14ac:dyDescent="0.3">
      <c r="A525" s="3" t="s">
        <v>35</v>
      </c>
      <c r="B525" s="3" t="s">
        <v>5</v>
      </c>
      <c r="C525" s="4">
        <v>46223.158333333333</v>
      </c>
      <c r="D525" s="3" t="str">
        <f t="shared" si="8"/>
        <v>Segment A</v>
      </c>
    </row>
    <row r="526" spans="1:4" ht="22" x14ac:dyDescent="0.3">
      <c r="A526" s="3" t="s">
        <v>130</v>
      </c>
      <c r="B526" s="3" t="s">
        <v>5</v>
      </c>
      <c r="C526" s="4">
        <v>46223.15902777778</v>
      </c>
      <c r="D526" s="3" t="str">
        <f t="shared" si="8"/>
        <v>Segment A</v>
      </c>
    </row>
    <row r="527" spans="1:4" ht="22" x14ac:dyDescent="0.3">
      <c r="A527" s="3" t="s">
        <v>172</v>
      </c>
      <c r="B527" s="3" t="s">
        <v>5</v>
      </c>
      <c r="C527" s="4">
        <v>46223.167361111111</v>
      </c>
      <c r="D527" s="3" t="str">
        <f t="shared" si="8"/>
        <v>Segment A</v>
      </c>
    </row>
    <row r="528" spans="1:4" ht="22" x14ac:dyDescent="0.3">
      <c r="A528" s="3" t="s">
        <v>34</v>
      </c>
      <c r="B528" s="3" t="s">
        <v>5</v>
      </c>
      <c r="C528" s="4">
        <v>46223.157638888886</v>
      </c>
      <c r="D528" s="3" t="str">
        <f t="shared" si="8"/>
        <v>Segment A</v>
      </c>
    </row>
    <row r="529" spans="1:4" ht="22" x14ac:dyDescent="0.3">
      <c r="A529" s="3" t="s">
        <v>79</v>
      </c>
      <c r="B529" s="3" t="s">
        <v>5</v>
      </c>
      <c r="C529" s="4">
        <v>46223.152083333334</v>
      </c>
      <c r="D529" s="3" t="str">
        <f t="shared" si="8"/>
        <v>Segment A</v>
      </c>
    </row>
    <row r="530" spans="1:4" ht="22" x14ac:dyDescent="0.3">
      <c r="A530" s="3" t="s">
        <v>64</v>
      </c>
      <c r="B530" s="3" t="s">
        <v>5</v>
      </c>
      <c r="C530" s="4">
        <v>46223.155555555553</v>
      </c>
      <c r="D530" s="3" t="str">
        <f t="shared" si="8"/>
        <v>Segment A</v>
      </c>
    </row>
    <row r="531" spans="1:4" ht="22" x14ac:dyDescent="0.3">
      <c r="A531" s="3" t="s">
        <v>184</v>
      </c>
      <c r="B531" s="3" t="s">
        <v>5</v>
      </c>
      <c r="C531" s="4">
        <v>46223.170138888891</v>
      </c>
      <c r="D531" s="3" t="str">
        <f t="shared" si="8"/>
        <v>Segment A</v>
      </c>
    </row>
    <row r="532" spans="1:4" ht="22" x14ac:dyDescent="0.3">
      <c r="A532" s="3" t="s">
        <v>69</v>
      </c>
      <c r="B532" s="3" t="s">
        <v>5</v>
      </c>
      <c r="C532" s="4">
        <v>46223.158333333333</v>
      </c>
      <c r="D532" s="3" t="str">
        <f t="shared" si="8"/>
        <v>Segment A</v>
      </c>
    </row>
    <row r="533" spans="1:4" ht="22" x14ac:dyDescent="0.3">
      <c r="A533" s="3" t="s">
        <v>16</v>
      </c>
      <c r="B533" s="3" t="s">
        <v>5</v>
      </c>
      <c r="C533" s="4">
        <v>46223.167361111111</v>
      </c>
      <c r="D533" s="3" t="str">
        <f t="shared" si="8"/>
        <v>Segment B</v>
      </c>
    </row>
    <row r="534" spans="1:4" ht="22" x14ac:dyDescent="0.3">
      <c r="A534" s="3" t="s">
        <v>70</v>
      </c>
      <c r="B534" s="3" t="s">
        <v>5</v>
      </c>
      <c r="C534" s="4">
        <v>46223.161805555559</v>
      </c>
      <c r="D534" s="3" t="str">
        <f t="shared" si="8"/>
        <v>Segment B</v>
      </c>
    </row>
    <row r="535" spans="1:4" ht="22" x14ac:dyDescent="0.3">
      <c r="A535" s="3" t="s">
        <v>176</v>
      </c>
      <c r="B535" s="3" t="s">
        <v>5</v>
      </c>
      <c r="C535" s="4">
        <v>46223.164583333331</v>
      </c>
      <c r="D535" s="3" t="str">
        <f t="shared" si="8"/>
        <v>Segment A</v>
      </c>
    </row>
    <row r="536" spans="1:4" ht="22" x14ac:dyDescent="0.3">
      <c r="A536" s="3" t="s">
        <v>189</v>
      </c>
      <c r="B536" s="3" t="s">
        <v>5</v>
      </c>
      <c r="C536" s="4">
        <v>46223.152777777781</v>
      </c>
      <c r="D536" s="3" t="str">
        <f t="shared" si="8"/>
        <v>Segment B</v>
      </c>
    </row>
    <row r="537" spans="1:4" ht="22" x14ac:dyDescent="0.3">
      <c r="A537" s="3" t="s">
        <v>57</v>
      </c>
      <c r="B537" s="3" t="s">
        <v>5</v>
      </c>
      <c r="C537" s="4">
        <v>46223.15902777778</v>
      </c>
      <c r="D537" s="3" t="str">
        <f t="shared" si="8"/>
        <v>Segment B</v>
      </c>
    </row>
    <row r="538" spans="1:4" ht="22" x14ac:dyDescent="0.3">
      <c r="A538" s="3" t="s">
        <v>199</v>
      </c>
      <c r="B538" s="3" t="s">
        <v>5</v>
      </c>
      <c r="C538" s="4">
        <v>46223.156944444447</v>
      </c>
      <c r="D538" s="3" t="str">
        <f t="shared" si="8"/>
        <v>Segment A</v>
      </c>
    </row>
    <row r="539" spans="1:4" ht="22" x14ac:dyDescent="0.3">
      <c r="A539" s="3" t="s">
        <v>202</v>
      </c>
      <c r="B539" s="3" t="s">
        <v>5</v>
      </c>
      <c r="C539" s="4">
        <v>46223.17291666667</v>
      </c>
      <c r="D539" s="3" t="str">
        <f t="shared" si="8"/>
        <v>Segment A</v>
      </c>
    </row>
    <row r="540" spans="1:4" ht="22" x14ac:dyDescent="0.3">
      <c r="A540" s="3" t="s">
        <v>66</v>
      </c>
      <c r="B540" s="3" t="s">
        <v>5</v>
      </c>
      <c r="C540" s="4">
        <v>46223.150694444441</v>
      </c>
      <c r="D540" s="3" t="str">
        <f t="shared" si="8"/>
        <v>Segment A</v>
      </c>
    </row>
    <row r="541" spans="1:4" ht="22" x14ac:dyDescent="0.3">
      <c r="A541" s="3" t="s">
        <v>201</v>
      </c>
      <c r="B541" s="3" t="s">
        <v>5</v>
      </c>
      <c r="C541" s="4">
        <v>46223.15902777778</v>
      </c>
      <c r="D541" s="3" t="str">
        <f t="shared" si="8"/>
        <v>Segment B</v>
      </c>
    </row>
    <row r="542" spans="1:4" ht="22" x14ac:dyDescent="0.3">
      <c r="A542" s="3" t="s">
        <v>115</v>
      </c>
      <c r="B542" s="3" t="s">
        <v>5</v>
      </c>
      <c r="C542" s="4">
        <v>46223.170138888891</v>
      </c>
      <c r="D542" s="3" t="str">
        <f t="shared" si="8"/>
        <v>Segment B</v>
      </c>
    </row>
    <row r="543" spans="1:4" ht="22" x14ac:dyDescent="0.3">
      <c r="A543" s="3" t="s">
        <v>177</v>
      </c>
      <c r="B543" s="3" t="s">
        <v>5</v>
      </c>
      <c r="C543" s="4">
        <v>46223.167361111111</v>
      </c>
      <c r="D543" s="3" t="str">
        <f t="shared" si="8"/>
        <v>Segment B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53677-B3E3-7046-801C-D6B20DFB0136}">
  <dimension ref="A1:AA43"/>
  <sheetViews>
    <sheetView tabSelected="1" workbookViewId="0">
      <selection activeCell="C39" sqref="C39"/>
    </sheetView>
  </sheetViews>
  <sheetFormatPr baseColWidth="10" defaultRowHeight="16" x14ac:dyDescent="0.2"/>
  <cols>
    <col min="1" max="1" width="21" bestFit="1" customWidth="1"/>
    <col min="2" max="2" width="20" bestFit="1" customWidth="1"/>
    <col min="3" max="3" width="23.1640625" bestFit="1" customWidth="1"/>
    <col min="4" max="4" width="14.1640625" customWidth="1"/>
    <col min="5" max="5" width="16" bestFit="1" customWidth="1"/>
  </cols>
  <sheetData>
    <row r="1" spans="1:10" ht="19" x14ac:dyDescent="0.25">
      <c r="A1" s="1" t="s">
        <v>208</v>
      </c>
      <c r="B1" s="1" t="s">
        <v>210</v>
      </c>
      <c r="C1" s="1" t="s">
        <v>211</v>
      </c>
      <c r="D1" s="1" t="s">
        <v>212</v>
      </c>
      <c r="E1" s="1" t="s">
        <v>213</v>
      </c>
      <c r="G1" s="10"/>
      <c r="H1" s="10"/>
      <c r="I1" s="10"/>
      <c r="J1" s="11"/>
    </row>
    <row r="2" spans="1:10" ht="19" x14ac:dyDescent="0.25">
      <c r="A2" s="1" t="s">
        <v>5</v>
      </c>
      <c r="B2" s="1">
        <v>200</v>
      </c>
      <c r="C2" s="8"/>
      <c r="D2" s="9"/>
      <c r="E2" s="1" t="str">
        <f t="shared" ref="E2:E6" si="0">IF(D2=MAX($D$3:$D$6),"Biggest Drop-off","")</f>
        <v/>
      </c>
      <c r="G2" s="10"/>
      <c r="H2" s="10"/>
      <c r="I2" s="10"/>
      <c r="J2" s="11"/>
    </row>
    <row r="3" spans="1:10" ht="19" x14ac:dyDescent="0.25">
      <c r="A3" s="1" t="s">
        <v>1</v>
      </c>
      <c r="B3" s="1">
        <v>150</v>
      </c>
      <c r="C3" s="8">
        <f t="shared" ref="C2:C6" si="1">B3/B2</f>
        <v>0.75</v>
      </c>
      <c r="D3" s="9">
        <f t="shared" ref="D2:D6" si="2">1-C3</f>
        <v>0.25</v>
      </c>
      <c r="E3" s="1" t="str">
        <f t="shared" si="0"/>
        <v/>
      </c>
      <c r="G3" s="10"/>
      <c r="H3" s="10"/>
      <c r="I3" s="10"/>
      <c r="J3" s="11"/>
    </row>
    <row r="4" spans="1:10" ht="19" x14ac:dyDescent="0.25">
      <c r="A4" s="1" t="s">
        <v>3</v>
      </c>
      <c r="B4" s="1">
        <v>96</v>
      </c>
      <c r="C4" s="8">
        <f t="shared" si="1"/>
        <v>0.64</v>
      </c>
      <c r="D4" s="9">
        <f t="shared" si="2"/>
        <v>0.36</v>
      </c>
      <c r="E4" s="1" t="str">
        <f t="shared" si="0"/>
        <v/>
      </c>
      <c r="G4" s="10"/>
      <c r="H4" s="10"/>
      <c r="I4" s="10"/>
      <c r="J4" s="11"/>
    </row>
    <row r="5" spans="1:10" ht="19" x14ac:dyDescent="0.25">
      <c r="A5" s="1" t="s">
        <v>12</v>
      </c>
      <c r="B5" s="1">
        <v>52</v>
      </c>
      <c r="C5" s="8">
        <f t="shared" si="1"/>
        <v>0.54166666666666663</v>
      </c>
      <c r="D5" s="9">
        <f t="shared" si="2"/>
        <v>0.45833333333333337</v>
      </c>
      <c r="E5" s="1" t="str">
        <f t="shared" si="0"/>
        <v>Biggest Drop-off</v>
      </c>
      <c r="G5" s="10"/>
      <c r="H5" s="10"/>
      <c r="I5" s="10"/>
      <c r="J5" s="11"/>
    </row>
    <row r="6" spans="1:10" ht="19" x14ac:dyDescent="0.25">
      <c r="A6" s="1" t="s">
        <v>15</v>
      </c>
      <c r="B6" s="1">
        <v>44</v>
      </c>
      <c r="C6" s="8">
        <f t="shared" si="1"/>
        <v>0.84615384615384615</v>
      </c>
      <c r="D6" s="9">
        <f t="shared" si="2"/>
        <v>0.15384615384615385</v>
      </c>
      <c r="E6" s="1" t="str">
        <f t="shared" si="0"/>
        <v/>
      </c>
      <c r="G6" s="10"/>
      <c r="H6" s="10"/>
      <c r="I6" s="10"/>
      <c r="J6" s="11"/>
    </row>
    <row r="7" spans="1:10" x14ac:dyDescent="0.2">
      <c r="G7" s="11"/>
      <c r="H7" s="11"/>
      <c r="I7" s="11"/>
      <c r="J7" s="11"/>
    </row>
    <row r="25" spans="1:27" x14ac:dyDescent="0.2">
      <c r="A25" s="10"/>
      <c r="B25" s="10"/>
      <c r="C25" s="10"/>
      <c r="D25" s="10"/>
      <c r="E25" s="10"/>
      <c r="F25" s="10"/>
      <c r="G25" s="10"/>
    </row>
    <row r="26" spans="1:27" x14ac:dyDescent="0.2">
      <c r="A26" s="10"/>
      <c r="B26" s="10"/>
      <c r="C26" s="10"/>
      <c r="D26" s="10"/>
      <c r="E26" s="10"/>
      <c r="F26" s="10"/>
      <c r="G26" s="10"/>
    </row>
    <row r="27" spans="1:27" ht="20" customHeight="1" x14ac:dyDescent="0.2">
      <c r="A27" s="10"/>
      <c r="B27" s="10"/>
      <c r="C27" s="10"/>
      <c r="D27" s="10"/>
      <c r="E27" s="10"/>
      <c r="F27" s="10"/>
      <c r="G27" s="10"/>
    </row>
    <row r="28" spans="1:27" x14ac:dyDescent="0.2">
      <c r="A28" s="10"/>
      <c r="B28" s="10"/>
      <c r="C28" s="10"/>
      <c r="D28" s="10"/>
      <c r="E28" s="10"/>
      <c r="F28" s="10"/>
      <c r="G28" s="10"/>
    </row>
    <row r="29" spans="1:27" x14ac:dyDescent="0.2">
      <c r="A29" s="10"/>
      <c r="B29" s="10"/>
      <c r="C29" s="10"/>
      <c r="D29" s="10"/>
      <c r="E29" s="10"/>
      <c r="F29" s="10"/>
      <c r="G29" s="10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x14ac:dyDescent="0.2">
      <c r="A30" s="10"/>
      <c r="B30" s="10"/>
      <c r="C30" s="10"/>
      <c r="D30" s="10"/>
      <c r="E30" s="10"/>
      <c r="F30" s="10"/>
      <c r="G30" s="10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x14ac:dyDescent="0.2">
      <c r="A31" s="10"/>
      <c r="B31" s="10"/>
      <c r="C31" s="10"/>
      <c r="D31" s="10"/>
      <c r="E31" s="10"/>
      <c r="F31" s="10"/>
      <c r="G31" s="10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x14ac:dyDescent="0.2">
      <c r="A32" s="10"/>
      <c r="B32" s="10"/>
      <c r="C32" s="10"/>
      <c r="D32" s="10"/>
      <c r="E32" s="10"/>
      <c r="F32" s="10"/>
      <c r="G32" s="10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x14ac:dyDescent="0.2">
      <c r="A33" s="10"/>
      <c r="B33" s="10"/>
      <c r="C33" s="10"/>
      <c r="D33" s="10"/>
      <c r="E33" s="10"/>
      <c r="F33" s="10"/>
      <c r="G33" s="10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x14ac:dyDescent="0.2">
      <c r="A34" s="10"/>
      <c r="B34" s="10"/>
      <c r="C34" s="10"/>
      <c r="D34" s="10"/>
      <c r="E34" s="10"/>
      <c r="F34" s="10"/>
      <c r="G34" s="10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x14ac:dyDescent="0.2">
      <c r="A35" s="10"/>
      <c r="B35" s="10"/>
      <c r="C35" s="10"/>
      <c r="D35" s="10"/>
      <c r="E35" s="10"/>
      <c r="F35" s="10"/>
      <c r="G35" s="10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x14ac:dyDescent="0.2">
      <c r="A36" s="10"/>
      <c r="B36" s="10"/>
      <c r="C36" s="10"/>
      <c r="D36" s="10"/>
      <c r="E36" s="10"/>
      <c r="F36" s="10"/>
      <c r="G36" s="10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x14ac:dyDescent="0.2">
      <c r="A37" s="10"/>
      <c r="B37" s="10"/>
      <c r="C37" s="10"/>
      <c r="D37" s="10"/>
      <c r="E37" s="10"/>
      <c r="F37" s="10"/>
      <c r="G37" s="10"/>
    </row>
    <row r="38" spans="1:27" x14ac:dyDescent="0.2">
      <c r="A38" s="10"/>
      <c r="B38" s="10"/>
      <c r="C38" s="10"/>
      <c r="D38" s="10"/>
      <c r="E38" s="10"/>
      <c r="F38" s="10"/>
      <c r="G38" s="10"/>
    </row>
    <row r="39" spans="1:27" x14ac:dyDescent="0.2">
      <c r="A39" s="11"/>
      <c r="B39" s="11"/>
      <c r="C39" s="11"/>
      <c r="D39" s="11"/>
      <c r="E39" s="11"/>
      <c r="F39" s="11"/>
      <c r="G39" s="11"/>
    </row>
    <row r="40" spans="1:27" x14ac:dyDescent="0.2">
      <c r="A40" s="11"/>
      <c r="B40" s="11"/>
      <c r="C40" s="11"/>
      <c r="D40" s="11"/>
      <c r="E40" s="11"/>
      <c r="F40" s="11"/>
      <c r="G40" s="11"/>
    </row>
    <row r="41" spans="1:27" x14ac:dyDescent="0.2">
      <c r="A41" s="11"/>
      <c r="B41" s="11"/>
      <c r="C41" s="11"/>
      <c r="D41" s="11"/>
      <c r="E41" s="11"/>
      <c r="F41" s="11"/>
      <c r="G41" s="11"/>
    </row>
    <row r="42" spans="1:27" x14ac:dyDescent="0.2">
      <c r="A42" s="11"/>
      <c r="B42" s="11"/>
      <c r="C42" s="11"/>
      <c r="D42" s="11"/>
      <c r="E42" s="11"/>
      <c r="F42" s="11"/>
      <c r="G42" s="11"/>
    </row>
    <row r="43" spans="1:27" x14ac:dyDescent="0.2">
      <c r="A43" s="11"/>
      <c r="B43" s="11"/>
      <c r="C43" s="11"/>
      <c r="D43" s="11"/>
      <c r="E43" s="11"/>
      <c r="F43" s="11"/>
      <c r="G43" s="11"/>
    </row>
  </sheetData>
  <mergeCells count="2">
    <mergeCell ref="G1:I6"/>
    <mergeCell ref="A25:G38"/>
  </mergeCell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56DB6-DEB7-294D-8C12-CE1CDD00D71A}">
  <dimension ref="A3:B9"/>
  <sheetViews>
    <sheetView workbookViewId="0">
      <selection activeCell="B24" sqref="B24"/>
    </sheetView>
  </sheetViews>
  <sheetFormatPr baseColWidth="10" defaultRowHeight="16" x14ac:dyDescent="0.2"/>
  <cols>
    <col min="1" max="1" width="18.33203125" bestFit="1" customWidth="1"/>
    <col min="2" max="2" width="15" bestFit="1" customWidth="1"/>
  </cols>
  <sheetData>
    <row r="3" spans="1:2" x14ac:dyDescent="0.2">
      <c r="A3" s="5" t="s">
        <v>208</v>
      </c>
      <c r="B3" t="s">
        <v>210</v>
      </c>
    </row>
    <row r="4" spans="1:2" x14ac:dyDescent="0.2">
      <c r="A4" s="6" t="s">
        <v>5</v>
      </c>
      <c r="B4" s="7">
        <v>200</v>
      </c>
    </row>
    <row r="5" spans="1:2" x14ac:dyDescent="0.2">
      <c r="A5" s="6" t="s">
        <v>1</v>
      </c>
      <c r="B5" s="7">
        <v>150</v>
      </c>
    </row>
    <row r="6" spans="1:2" x14ac:dyDescent="0.2">
      <c r="A6" s="6" t="s">
        <v>3</v>
      </c>
      <c r="B6" s="7">
        <v>96</v>
      </c>
    </row>
    <row r="7" spans="1:2" x14ac:dyDescent="0.2">
      <c r="A7" s="6" t="s">
        <v>12</v>
      </c>
      <c r="B7" s="7">
        <v>52</v>
      </c>
    </row>
    <row r="8" spans="1:2" x14ac:dyDescent="0.2">
      <c r="A8" s="6" t="s">
        <v>15</v>
      </c>
      <c r="B8" s="7">
        <v>44</v>
      </c>
    </row>
    <row r="9" spans="1:2" x14ac:dyDescent="0.2">
      <c r="A9" s="6" t="s">
        <v>209</v>
      </c>
      <c r="B9" s="7">
        <v>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irshad</dc:creator>
  <cp:lastModifiedBy>md irshad</cp:lastModifiedBy>
  <dcterms:created xsi:type="dcterms:W3CDTF">2026-07-25T10:08:43Z</dcterms:created>
  <dcterms:modified xsi:type="dcterms:W3CDTF">2026-07-25T12:03:48Z</dcterms:modified>
</cp:coreProperties>
</file>